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5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E:\college\Statistics\"/>
    </mc:Choice>
  </mc:AlternateContent>
  <xr:revisionPtr revIDLastSave="0" documentId="13_ncr:1_{66EB12D7-77E7-443A-B8C3-F4ACD96A37E0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Main sheet" sheetId="1" r:id="rId1"/>
    <sheet name="Hospitals" sheetId="3" r:id="rId2"/>
    <sheet name="Physicians" sheetId="4" r:id="rId3"/>
    <sheet name="Family doctors" sheetId="5" r:id="rId4"/>
    <sheet name="Sanitary beds" sheetId="6" r:id="rId5"/>
    <sheet name="Deaths" sheetId="7" r:id="rId6"/>
    <sheet name="Scatter Diagram" sheetId="8" r:id="rId7"/>
    <sheet name="Spearman" sheetId="11" r:id="rId8"/>
    <sheet name="Kendall" sheetId="12" r:id="rId9"/>
  </sheets>
  <externalReferences>
    <externalReference r:id="rId10"/>
  </externalReferences>
  <definedNames>
    <definedName name="_xlnm._FilterDatabase" localSheetId="0" hidden="1">'Main sheet'!$A$1:$F$31</definedName>
    <definedName name="_xlchart.v1.0" hidden="1">[1]Sheet3!$A$2:$A$31</definedName>
    <definedName name="_xlchart.v1.1" hidden="1">[1]Sheet4!$A$2:$A$31</definedName>
    <definedName name="_xlchart.v1.2" hidden="1">[1]Sheet5!$A$2:$A$31</definedName>
    <definedName name="_xlchart.v1.3" hidden="1">[1]Sheet5!$A$2:$A$31</definedName>
    <definedName name="_xlchart.v1.4" hidden="1">[1]Sheet6!$A$2:$A$31</definedName>
    <definedName name="_xlchart.v1.5" hidden="1">[1]Sheet7!$A$2:$A$31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6" l="1"/>
  <c r="M2" i="6"/>
  <c r="E25" i="7"/>
  <c r="G25" i="6"/>
  <c r="D30" i="5"/>
  <c r="J26" i="3"/>
  <c r="K2" i="11"/>
  <c r="K1" i="11"/>
  <c r="K3" i="11"/>
  <c r="M4" i="6" l="1"/>
  <c r="M5" i="6" s="1"/>
  <c r="M6" i="6"/>
  <c r="K5" i="11"/>
  <c r="K7" i="11" s="1"/>
  <c r="E11" i="11" l="1"/>
  <c r="D11" i="11"/>
  <c r="E10" i="11"/>
  <c r="D10" i="11"/>
  <c r="F10" i="11" s="1"/>
  <c r="G10" i="11" s="1"/>
  <c r="E9" i="11"/>
  <c r="D9" i="11"/>
  <c r="F9" i="11" s="1"/>
  <c r="G9" i="11" s="1"/>
  <c r="E8" i="11"/>
  <c r="D8" i="11"/>
  <c r="F8" i="11" s="1"/>
  <c r="G8" i="11" s="1"/>
  <c r="E7" i="11"/>
  <c r="D7" i="11"/>
  <c r="E6" i="11"/>
  <c r="D6" i="11"/>
  <c r="F6" i="11" s="1"/>
  <c r="G6" i="11" s="1"/>
  <c r="E5" i="11"/>
  <c r="D5" i="11"/>
  <c r="F5" i="11" s="1"/>
  <c r="G5" i="11" s="1"/>
  <c r="E4" i="11"/>
  <c r="D4" i="11"/>
  <c r="F4" i="11" s="1"/>
  <c r="G4" i="11" s="1"/>
  <c r="E3" i="11"/>
  <c r="D3" i="11"/>
  <c r="E2" i="11"/>
  <c r="D2" i="11"/>
  <c r="F2" i="11" s="1"/>
  <c r="G2" i="11" s="1"/>
  <c r="N2" i="7"/>
  <c r="N1" i="7"/>
  <c r="N11" i="5"/>
  <c r="N10" i="5"/>
  <c r="K21" i="4"/>
  <c r="K20" i="4"/>
  <c r="H2" i="3"/>
  <c r="H1" i="3"/>
  <c r="L21" i="7"/>
  <c r="L20" i="7"/>
  <c r="L19" i="7"/>
  <c r="L18" i="7"/>
  <c r="H4" i="6"/>
  <c r="H7" i="6"/>
  <c r="H6" i="6"/>
  <c r="H5" i="6"/>
  <c r="N8" i="5"/>
  <c r="N7" i="5"/>
  <c r="N6" i="5"/>
  <c r="N5" i="5"/>
  <c r="H25" i="4"/>
  <c r="H24" i="4"/>
  <c r="H23" i="4"/>
  <c r="H22" i="4"/>
  <c r="M6" i="3"/>
  <c r="M5" i="3"/>
  <c r="M7" i="3"/>
  <c r="M4" i="3"/>
  <c r="F3" i="11" l="1"/>
  <c r="G3" i="11" s="1"/>
  <c r="F7" i="11"/>
  <c r="G7" i="11" s="1"/>
  <c r="F11" i="11"/>
  <c r="G11" i="11" s="1"/>
  <c r="N3" i="7"/>
  <c r="N5" i="7" s="1"/>
  <c r="N12" i="5"/>
  <c r="N14" i="5" s="1"/>
  <c r="K22" i="4"/>
  <c r="K24" i="4" s="1"/>
  <c r="H3" i="3"/>
  <c r="H5" i="3" s="1"/>
  <c r="N4" i="7" l="1"/>
  <c r="N13" i="5"/>
  <c r="K23" i="4"/>
  <c r="H4" i="3"/>
  <c r="L31" i="1" l="1"/>
  <c r="K31" i="1"/>
  <c r="K30" i="1"/>
  <c r="J31" i="1"/>
  <c r="J30" i="1"/>
  <c r="J29" i="1"/>
  <c r="I31" i="1" l="1"/>
  <c r="I30" i="1"/>
  <c r="I29" i="1"/>
  <c r="I28" i="1"/>
  <c r="H31" i="1"/>
  <c r="H30" i="1"/>
  <c r="H27" i="1"/>
  <c r="H29" i="1"/>
  <c r="H28" i="1"/>
  <c r="L24" i="1"/>
  <c r="K23" i="1"/>
  <c r="J22" i="1"/>
  <c r="I21" i="1"/>
  <c r="H20" i="1"/>
  <c r="H1" i="1" l="1"/>
</calcChain>
</file>

<file path=xl/sharedStrings.xml><?xml version="1.0" encoding="utf-8"?>
<sst xmlns="http://schemas.openxmlformats.org/spreadsheetml/2006/main" count="368" uniqueCount="136">
  <si>
    <t>Region</t>
  </si>
  <si>
    <t>No. of hospitals</t>
  </si>
  <si>
    <t>Physicians (dentists excluded)</t>
  </si>
  <si>
    <t>Family doctors</t>
  </si>
  <si>
    <t>Number of the beds from sanitary units</t>
  </si>
  <si>
    <t>Number of deaths</t>
  </si>
  <si>
    <t>Bistrita-Nasaud</t>
  </si>
  <si>
    <t>Cluj</t>
  </si>
  <si>
    <t>Maramures</t>
  </si>
  <si>
    <t>Satu Mare</t>
  </si>
  <si>
    <t>Salaj</t>
  </si>
  <si>
    <t>Alba</t>
  </si>
  <si>
    <t>Brasov</t>
  </si>
  <si>
    <t>Covasna</t>
  </si>
  <si>
    <t>Harghita</t>
  </si>
  <si>
    <t>Mures</t>
  </si>
  <si>
    <t>Sibiu</t>
  </si>
  <si>
    <t>Bacau</t>
  </si>
  <si>
    <t>Botosani</t>
  </si>
  <si>
    <t>Iasi</t>
  </si>
  <si>
    <t>Neamt</t>
  </si>
  <si>
    <t>Suceava</t>
  </si>
  <si>
    <t>Vaslui</t>
  </si>
  <si>
    <t>Braila</t>
  </si>
  <si>
    <t>Buzau</t>
  </si>
  <si>
    <t>Constanta</t>
  </si>
  <si>
    <t>Galati</t>
  </si>
  <si>
    <t>Tulcea</t>
  </si>
  <si>
    <t>Vrancea</t>
  </si>
  <si>
    <t>Arges</t>
  </si>
  <si>
    <t>Calarasi</t>
  </si>
  <si>
    <t>Dambovita</t>
  </si>
  <si>
    <t>Giurgiu</t>
  </si>
  <si>
    <t>Ialomita</t>
  </si>
  <si>
    <t>Prahova</t>
  </si>
  <si>
    <t>Teleorman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</si>
  <si>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</si>
  <si>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</si>
  <si>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</si>
  <si>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</si>
  <si>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</si>
  <si>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</si>
  <si>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</si>
  <si>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</si>
  <si>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</si>
  <si>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</si>
  <si>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</si>
  <si>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</si>
  <si>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</si>
  <si>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Bin</t>
  </si>
  <si>
    <t>More</t>
  </si>
  <si>
    <t>Frequency</t>
  </si>
  <si>
    <t>bin</t>
  </si>
  <si>
    <t>bins</t>
  </si>
  <si>
    <t>bin label</t>
  </si>
  <si>
    <t>(4-9)</t>
  </si>
  <si>
    <t>(10-15)</t>
  </si>
  <si>
    <t>(16-21)</t>
  </si>
  <si>
    <t>Sterge's rule</t>
  </si>
  <si>
    <t>(22-27)</t>
  </si>
  <si>
    <t>(28-32)</t>
  </si>
  <si>
    <t>(32-37)</t>
  </si>
  <si>
    <t>bin labels</t>
  </si>
  <si>
    <t>(313-436)</t>
  </si>
  <si>
    <t>(456-543)</t>
  </si>
  <si>
    <t>(565-630)</t>
  </si>
  <si>
    <t>(672-984)</t>
  </si>
  <si>
    <t>(1065-1561)</t>
  </si>
  <si>
    <t>(2035-5294)</t>
  </si>
  <si>
    <t>bins label</t>
  </si>
  <si>
    <t>(80-108)</t>
  </si>
  <si>
    <t>(133-141)</t>
  </si>
  <si>
    <t>(153-174)</t>
  </si>
  <si>
    <t>(193-250)</t>
  </si>
  <si>
    <t>(256-362)</t>
  </si>
  <si>
    <t>(387-542)</t>
  </si>
  <si>
    <t>c</t>
  </si>
  <si>
    <t>(831-1303)</t>
  </si>
  <si>
    <t>(1327-1913)</t>
  </si>
  <si>
    <t>(1951-2191)</t>
  </si>
  <si>
    <t>(2340-2920)</t>
  </si>
  <si>
    <t>(2965-3877)</t>
  </si>
  <si>
    <t>(4160-7575)</t>
  </si>
  <si>
    <t>(2766-3924)</t>
  </si>
  <si>
    <t>(4087-4646)</t>
  </si>
  <si>
    <t>(4836-5729)</t>
  </si>
  <si>
    <t>(5995-6981)</t>
  </si>
  <si>
    <t>(7195-8193)</t>
  </si>
  <si>
    <t>(8697-11195)</t>
  </si>
  <si>
    <t>Considering that as the doctors increase ,the beds increase as well,it's a positive association.</t>
  </si>
  <si>
    <t>Population Covariance</t>
  </si>
  <si>
    <t>No. of the beds from sanitary units</t>
  </si>
  <si>
    <t>No. of deaths</t>
  </si>
  <si>
    <t>Sample Covariance</t>
  </si>
  <si>
    <t>Central Tendency Measures:</t>
  </si>
  <si>
    <t>Means:</t>
  </si>
  <si>
    <t>Arithmetic:</t>
  </si>
  <si>
    <t>Harmonic:</t>
  </si>
  <si>
    <t>Geometric:</t>
  </si>
  <si>
    <t>Quadratic:</t>
  </si>
  <si>
    <t>none</t>
  </si>
  <si>
    <t>Q1</t>
  </si>
  <si>
    <t>Q3</t>
  </si>
  <si>
    <t>IRQ</t>
  </si>
  <si>
    <t>Lower Bound</t>
  </si>
  <si>
    <t>Upper Bound</t>
  </si>
  <si>
    <t>Outliers</t>
  </si>
  <si>
    <t>NONE</t>
  </si>
  <si>
    <r>
      <t>R</t>
    </r>
    <r>
      <rPr>
        <b/>
        <vertAlign val="subscript"/>
        <sz val="11"/>
        <color rgb="FF000000"/>
        <rFont val="Times New Roman"/>
        <family val="1"/>
      </rPr>
      <t>x</t>
    </r>
  </si>
  <si>
    <r>
      <t>R</t>
    </r>
    <r>
      <rPr>
        <b/>
        <vertAlign val="subscript"/>
        <sz val="11"/>
        <color rgb="FF000000"/>
        <rFont val="Times New Roman"/>
        <family val="1"/>
      </rPr>
      <t>y</t>
    </r>
  </si>
  <si>
    <r>
      <t>d</t>
    </r>
    <r>
      <rPr>
        <b/>
        <vertAlign val="subscript"/>
        <sz val="11"/>
        <color rgb="FF000000"/>
        <rFont val="Times New Roman"/>
        <family val="1"/>
      </rPr>
      <t>i</t>
    </r>
  </si>
  <si>
    <r>
      <t>d</t>
    </r>
    <r>
      <rPr>
        <b/>
        <vertAlign val="subscript"/>
        <sz val="11"/>
        <color rgb="FF000000"/>
        <rFont val="Times New Roman"/>
        <family val="1"/>
      </rPr>
      <t>i</t>
    </r>
    <r>
      <rPr>
        <b/>
        <vertAlign val="superscript"/>
        <sz val="11"/>
        <color rgb="FF000000"/>
        <rFont val="Times New Roman"/>
        <family val="1"/>
      </rPr>
      <t>2</t>
    </r>
  </si>
  <si>
    <t>Coments on tasks</t>
  </si>
  <si>
    <t>Concordant</t>
  </si>
  <si>
    <t>Discordant</t>
  </si>
  <si>
    <t>SUM</t>
  </si>
  <si>
    <t>Rule</t>
  </si>
  <si>
    <r>
      <t>concordant if (</t>
    </r>
    <r>
      <rPr>
        <i/>
        <sz val="12"/>
        <color rgb="FF111111"/>
        <rFont val="Georgia"/>
        <family val="1"/>
      </rPr>
      <t>xi &gt; xj</t>
    </r>
    <r>
      <rPr>
        <sz val="12"/>
        <color rgb="FF111111"/>
        <rFont val="Georgia"/>
        <family val="1"/>
      </rPr>
      <t> and y</t>
    </r>
    <r>
      <rPr>
        <i/>
        <sz val="12"/>
        <color rgb="FF111111"/>
        <rFont val="Georgia"/>
        <family val="1"/>
      </rPr>
      <t>i </t>
    </r>
    <r>
      <rPr>
        <sz val="12"/>
        <color rgb="FF111111"/>
        <rFont val="Georgia"/>
        <family val="1"/>
      </rPr>
      <t>&gt; y</t>
    </r>
    <r>
      <rPr>
        <i/>
        <sz val="12"/>
        <color rgb="FF111111"/>
        <rFont val="Georgia"/>
        <family val="1"/>
      </rPr>
      <t>j</t>
    </r>
    <r>
      <rPr>
        <sz val="12"/>
        <color rgb="FF111111"/>
        <rFont val="Georgia"/>
        <family val="1"/>
      </rPr>
      <t>) or (</t>
    </r>
    <r>
      <rPr>
        <i/>
        <sz val="12"/>
        <color rgb="FF111111"/>
        <rFont val="Georgia"/>
        <family val="1"/>
      </rPr>
      <t>xi &lt; xj </t>
    </r>
    <r>
      <rPr>
        <sz val="12"/>
        <color rgb="FF111111"/>
        <rFont val="Georgia"/>
        <family val="1"/>
      </rPr>
      <t>and y</t>
    </r>
    <r>
      <rPr>
        <i/>
        <sz val="12"/>
        <color rgb="FF111111"/>
        <rFont val="Georgia"/>
        <family val="1"/>
      </rPr>
      <t>i</t>
    </r>
    <r>
      <rPr>
        <sz val="12"/>
        <color rgb="FF111111"/>
        <rFont val="Georgia"/>
        <family val="1"/>
      </rPr>
      <t> &lt; y</t>
    </r>
    <r>
      <rPr>
        <i/>
        <sz val="12"/>
        <color rgb="FF111111"/>
        <rFont val="Georgia"/>
        <family val="1"/>
      </rPr>
      <t>j</t>
    </r>
    <r>
      <rPr>
        <sz val="12"/>
        <color rgb="FF111111"/>
        <rFont val="Georgia"/>
        <family val="1"/>
      </rPr>
      <t>)</t>
    </r>
  </si>
  <si>
    <r>
      <t>discordant if (</t>
    </r>
    <r>
      <rPr>
        <i/>
        <sz val="12"/>
        <color rgb="FF111111"/>
        <rFont val="Georgia"/>
        <family val="1"/>
      </rPr>
      <t>xi &gt; xj</t>
    </r>
    <r>
      <rPr>
        <sz val="12"/>
        <color rgb="FF111111"/>
        <rFont val="Georgia"/>
        <family val="1"/>
      </rPr>
      <t> and y</t>
    </r>
    <r>
      <rPr>
        <i/>
        <sz val="12"/>
        <color rgb="FF111111"/>
        <rFont val="Georgia"/>
        <family val="1"/>
      </rPr>
      <t>i</t>
    </r>
    <r>
      <rPr>
        <sz val="12"/>
        <color rgb="FF111111"/>
        <rFont val="Georgia"/>
        <family val="1"/>
      </rPr>
      <t> &lt; y</t>
    </r>
    <r>
      <rPr>
        <i/>
        <sz val="12"/>
        <color rgb="FF111111"/>
        <rFont val="Georgia"/>
        <family val="1"/>
      </rPr>
      <t>j</t>
    </r>
    <r>
      <rPr>
        <sz val="12"/>
        <color rgb="FF111111"/>
        <rFont val="Georgia"/>
        <family val="1"/>
      </rPr>
      <t>) or (</t>
    </r>
    <r>
      <rPr>
        <i/>
        <sz val="12"/>
        <color rgb="FF111111"/>
        <rFont val="Georgia"/>
        <family val="1"/>
      </rPr>
      <t>xi &lt; xj</t>
    </r>
    <r>
      <rPr>
        <sz val="12"/>
        <color rgb="FF111111"/>
        <rFont val="Georgia"/>
        <family val="1"/>
      </rPr>
      <t> and y</t>
    </r>
    <r>
      <rPr>
        <i/>
        <sz val="12"/>
        <color rgb="FF111111"/>
        <rFont val="Georgia"/>
        <family val="1"/>
      </rPr>
      <t>i</t>
    </r>
    <r>
      <rPr>
        <sz val="12"/>
        <color rgb="FF111111"/>
        <rFont val="Georgia"/>
        <family val="1"/>
      </rPr>
      <t> &gt; y</t>
    </r>
    <r>
      <rPr>
        <i/>
        <sz val="12"/>
        <color rgb="FF111111"/>
        <rFont val="Georgia"/>
        <family val="1"/>
      </rPr>
      <t>j</t>
    </r>
    <r>
      <rPr>
        <sz val="12"/>
        <color rgb="FF111111"/>
        <rFont val="Georgia"/>
        <family val="1"/>
      </rPr>
      <t>)</t>
    </r>
  </si>
  <si>
    <r>
      <t>neither if </t>
    </r>
    <r>
      <rPr>
        <i/>
        <sz val="12"/>
        <color rgb="FF111111"/>
        <rFont val="Georgia"/>
        <family val="1"/>
      </rPr>
      <t>xi = xj</t>
    </r>
    <r>
      <rPr>
        <sz val="12"/>
        <color rgb="FF111111"/>
        <rFont val="Georgia"/>
        <family val="1"/>
      </rPr>
      <t> or y</t>
    </r>
    <r>
      <rPr>
        <i/>
        <sz val="12"/>
        <color rgb="FF111111"/>
        <rFont val="Georgia"/>
        <family val="1"/>
      </rPr>
      <t>i</t>
    </r>
    <r>
      <rPr>
        <sz val="12"/>
        <color rgb="FF111111"/>
        <rFont val="Georgia"/>
        <family val="1"/>
      </rPr>
      <t> = y</t>
    </r>
    <r>
      <rPr>
        <i/>
        <sz val="12"/>
        <color rgb="FF111111"/>
        <rFont val="Georgia"/>
        <family val="1"/>
      </rPr>
      <t>j </t>
    </r>
    <r>
      <rPr>
        <sz val="12"/>
        <color rgb="FF111111"/>
        <rFont val="Georgia"/>
        <family val="1"/>
      </rPr>
      <t>(i.e. ties are not counted).</t>
    </r>
  </si>
  <si>
    <t>Kendall’s Tau</t>
  </si>
  <si>
    <t>Spearman correlation</t>
  </si>
  <si>
    <t>Pearson correlation</t>
  </si>
  <si>
    <t>Spearman correlation coefficient</t>
  </si>
  <si>
    <t>N</t>
  </si>
  <si>
    <t>T statistic</t>
  </si>
  <si>
    <t>Degrees of freedom</t>
  </si>
  <si>
    <t>p value</t>
  </si>
  <si>
    <t>n(sample size)=</t>
  </si>
  <si>
    <t>Sturges=1+3.3*log(30)</t>
  </si>
  <si>
    <t>upper limit</t>
  </si>
  <si>
    <t>correlation</t>
  </si>
  <si>
    <t>(very strong positive correlation), if the correlation is between 0.8-1</t>
  </si>
  <si>
    <t>Coefficient of Correlation(Correlation matrix)</t>
  </si>
  <si>
    <t>class size</t>
  </si>
  <si>
    <t>(strong correlation)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</si>
</sst>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2A2A2A"/>
      <name val="Exo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u/>
      <sz val="11"/>
      <color theme="1"/>
      <name val="Verdana"/>
      <family val="2"/>
    </font>
    <font>
      <i/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Times New Roman"/>
      <family val="1"/>
    </font>
    <font>
      <b/>
      <vertAlign val="subscript"/>
      <sz val="11"/>
      <color rgb="FF000000"/>
      <name val="Times New Roman"/>
      <family val="1"/>
    </font>
    <font>
      <b/>
      <vertAlign val="superscript"/>
      <sz val="11"/>
      <color rgb="FF000000"/>
      <name val="Times New Roman"/>
      <family val="1"/>
    </font>
    <font>
      <sz val="12"/>
      <color rgb="FF111111"/>
      <name val="Georgia"/>
      <family val="1"/>
    </font>
    <font>
      <i/>
      <sz val="12"/>
      <color rgb="FF111111"/>
      <name val="Georgia"/>
      <family val="1"/>
    </font>
    <font>
      <b/>
      <sz val="14"/>
      <color rgb="FF000000"/>
      <name val="Verdana"/>
      <family val="2"/>
    </font>
    <font>
      <b/>
      <sz val="11"/>
      <color rgb="FF000000"/>
      <name val="Veranda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ECF1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AFAFA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FAFAFA"/>
      </left>
      <right style="medium">
        <color rgb="FF000000"/>
      </right>
      <top style="medium">
        <color rgb="FFCCCCCC"/>
      </top>
      <bottom style="medium">
        <color rgb="FFFAFAFA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8" fillId="0" borderId="0" applyNumberFormat="0" applyFill="0" applyBorder="0" applyAlignment="0" applyProtection="0"/>
    <xf numFmtId="0" fontId="9" fillId="0" borderId="10" applyNumberFormat="0" applyFill="0" applyAlignment="0" applyProtection="0"/>
    <xf numFmtId="0" fontId="10" fillId="0" borderId="11" applyNumberFormat="0" applyFill="0" applyAlignment="0" applyProtection="0"/>
    <xf numFmtId="0" fontId="11" fillId="0" borderId="12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13" applyNumberFormat="0" applyAlignment="0" applyProtection="0"/>
    <xf numFmtId="0" fontId="16" fillId="9" borderId="14" applyNumberFormat="0" applyAlignment="0" applyProtection="0"/>
    <xf numFmtId="0" fontId="17" fillId="9" borderId="13" applyNumberFormat="0" applyAlignment="0" applyProtection="0"/>
    <xf numFmtId="0" fontId="18" fillId="0" borderId="15" applyNumberFormat="0" applyFill="0" applyAlignment="0" applyProtection="0"/>
    <xf numFmtId="0" fontId="19" fillId="10" borderId="16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2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3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3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3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3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17" applyNumberFormat="0" applyFont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5" fillId="4" borderId="4" xfId="0" applyFont="1" applyFill="1" applyBorder="1" applyAlignment="1">
      <alignment horizontal="right" wrapText="1"/>
    </xf>
    <xf numFmtId="0" fontId="6" fillId="4" borderId="4" xfId="0" applyFont="1" applyFill="1" applyBorder="1" applyAlignment="1">
      <alignment horizontal="right" wrapText="1"/>
    </xf>
    <xf numFmtId="0" fontId="0" fillId="0" borderId="6" xfId="0" applyBorder="1"/>
    <xf numFmtId="0" fontId="7" fillId="0" borderId="7" xfId="0" applyFont="1" applyBorder="1" applyAlignment="1">
      <alignment horizontal="center"/>
    </xf>
    <xf numFmtId="0" fontId="5" fillId="4" borderId="8" xfId="0" applyFont="1" applyFill="1" applyBorder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9" xfId="0" applyBorder="1"/>
    <xf numFmtId="0" fontId="11" fillId="0" borderId="12" xfId="4" applyFill="1" applyAlignment="1"/>
    <xf numFmtId="0" fontId="11" fillId="0" borderId="12" xfId="4"/>
    <xf numFmtId="0" fontId="0" fillId="0" borderId="30" xfId="0" applyBorder="1"/>
    <xf numFmtId="0" fontId="22" fillId="0" borderId="9" xfId="0" applyFont="1" applyBorder="1"/>
    <xf numFmtId="0" fontId="24" fillId="36" borderId="24" xfId="0" applyFont="1" applyFill="1" applyBorder="1" applyAlignment="1">
      <alignment horizontal="center" vertical="center"/>
    </xf>
    <xf numFmtId="0" fontId="0" fillId="0" borderId="29" xfId="0" applyBorder="1"/>
    <xf numFmtId="0" fontId="0" fillId="0" borderId="27" xfId="0" applyBorder="1"/>
    <xf numFmtId="0" fontId="4" fillId="3" borderId="24" xfId="0" applyFont="1" applyFill="1" applyBorder="1" applyAlignment="1">
      <alignment wrapText="1"/>
    </xf>
    <xf numFmtId="0" fontId="2" fillId="0" borderId="24" xfId="0" applyFont="1" applyBorder="1" applyAlignment="1">
      <alignment wrapText="1"/>
    </xf>
    <xf numFmtId="0" fontId="22" fillId="0" borderId="31" xfId="0" applyFont="1" applyBorder="1"/>
    <xf numFmtId="0" fontId="22" fillId="0" borderId="27" xfId="0" applyFont="1" applyBorder="1"/>
    <xf numFmtId="0" fontId="0" fillId="0" borderId="19" xfId="0" applyBorder="1"/>
    <xf numFmtId="0" fontId="0" fillId="0" borderId="32" xfId="0" applyBorder="1"/>
    <xf numFmtId="0" fontId="0" fillId="0" borderId="24" xfId="0" applyBorder="1"/>
    <xf numFmtId="0" fontId="0" fillId="0" borderId="28" xfId="0" applyBorder="1"/>
    <xf numFmtId="0" fontId="0" fillId="0" borderId="26" xfId="0" applyBorder="1"/>
    <xf numFmtId="0" fontId="5" fillId="4" borderId="24" xfId="0" applyFont="1" applyFill="1" applyBorder="1" applyAlignment="1">
      <alignment horizontal="right" wrapText="1"/>
    </xf>
    <xf numFmtId="0" fontId="22" fillId="0" borderId="29" xfId="0" applyFont="1" applyBorder="1"/>
    <xf numFmtId="0" fontId="22" fillId="0" borderId="25" xfId="0" applyFont="1" applyBorder="1"/>
    <xf numFmtId="0" fontId="5" fillId="4" borderId="34" xfId="0" applyFont="1" applyFill="1" applyBorder="1" applyAlignment="1">
      <alignment horizontal="right" wrapText="1"/>
    </xf>
    <xf numFmtId="0" fontId="1" fillId="0" borderId="0" xfId="41"/>
    <xf numFmtId="0" fontId="22" fillId="0" borderId="0" xfId="41" applyFont="1"/>
    <xf numFmtId="0" fontId="2" fillId="0" borderId="35" xfId="0" applyFont="1" applyBorder="1" applyAlignment="1">
      <alignment wrapText="1"/>
    </xf>
    <xf numFmtId="0" fontId="4" fillId="3" borderId="36" xfId="0" applyFont="1" applyFill="1" applyBorder="1" applyAlignment="1">
      <alignment wrapText="1"/>
    </xf>
    <xf numFmtId="0" fontId="22" fillId="0" borderId="37" xfId="0" applyFont="1" applyBorder="1"/>
    <xf numFmtId="0" fontId="27" fillId="0" borderId="0" xfId="0" applyFont="1" applyAlignment="1">
      <alignment horizontal="left" vertical="center" wrapText="1" indent="1"/>
    </xf>
    <xf numFmtId="0" fontId="29" fillId="0" borderId="31" xfId="0" applyFont="1" applyBorder="1"/>
    <xf numFmtId="0" fontId="4" fillId="37" borderId="24" xfId="0" applyFont="1" applyFill="1" applyBorder="1" applyAlignment="1">
      <alignment wrapText="1"/>
    </xf>
    <xf numFmtId="0" fontId="30" fillId="37" borderId="24" xfId="0" applyFont="1" applyFill="1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41" applyFont="1" applyAlignment="1">
      <alignment horizontal="left"/>
    </xf>
    <xf numFmtId="0" fontId="1" fillId="0" borderId="0" xfId="41" applyAlignment="1">
      <alignment horizontal="left"/>
    </xf>
    <xf numFmtId="0" fontId="0" fillId="0" borderId="9" xfId="0" applyBorder="1" applyAlignment="1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830F1485-79B1-412C-8B42-7471E9D690CB}"/>
    <cellStyle name="Note 2" xfId="42" xr:uid="{3E2921AB-5FEF-473F-8ACE-EC121F17284A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Hospitals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542616481706497"/>
          <c:y val="0.28270255143040185"/>
          <c:w val="0.61009470881000982"/>
          <c:h val="0.29086221937254564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Hospitals!$B$18:$B$24</c:f>
              <c:strCache>
                <c:ptCount val="7"/>
                <c:pt idx="0">
                  <c:v>(4-9)</c:v>
                </c:pt>
                <c:pt idx="1">
                  <c:v>(10-15)</c:v>
                </c:pt>
                <c:pt idx="2">
                  <c:v>(16-21)</c:v>
                </c:pt>
                <c:pt idx="3">
                  <c:v>(22-27)</c:v>
                </c:pt>
                <c:pt idx="4">
                  <c:v>(28-32)</c:v>
                </c:pt>
                <c:pt idx="5">
                  <c:v>(32-37)</c:v>
                </c:pt>
                <c:pt idx="6">
                  <c:v>More</c:v>
                </c:pt>
              </c:strCache>
            </c:strRef>
          </c:cat>
          <c:val>
            <c:numRef>
              <c:f>Hospitals!$C$18:$C$24</c:f>
              <c:numCache>
                <c:formatCode>General</c:formatCode>
                <c:ptCount val="7"/>
                <c:pt idx="0">
                  <c:v>16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D-4AED-B454-5FD5F8761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08716136"/>
        <c:axId val="408716528"/>
      </c:barChart>
      <c:catAx>
        <c:axId val="408716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716528"/>
        <c:crosses val="autoZero"/>
        <c:auto val="1"/>
        <c:lblAlgn val="ctr"/>
        <c:lblOffset val="100"/>
        <c:noMultiLvlLbl val="0"/>
      </c:catAx>
      <c:valAx>
        <c:axId val="408716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716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 sheet'!$B$1</c:f>
              <c:strCache>
                <c:ptCount val="1"/>
                <c:pt idx="0">
                  <c:v>No. of hospitals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'Main sheet'!$A$2:$A$31</c:f>
              <c:strCache>
                <c:ptCount val="30"/>
                <c:pt idx="0">
                  <c:v>Bistrita-Nasaud</c:v>
                </c:pt>
                <c:pt idx="1">
                  <c:v>Cluj</c:v>
                </c:pt>
                <c:pt idx="2">
                  <c:v>Maramures</c:v>
                </c:pt>
                <c:pt idx="3">
                  <c:v>Satu Mare</c:v>
                </c:pt>
                <c:pt idx="4">
                  <c:v>Salaj</c:v>
                </c:pt>
                <c:pt idx="5">
                  <c:v>Alba</c:v>
                </c:pt>
                <c:pt idx="6">
                  <c:v>Brasov</c:v>
                </c:pt>
                <c:pt idx="7">
                  <c:v>Covasna</c:v>
                </c:pt>
                <c:pt idx="8">
                  <c:v>Harghita</c:v>
                </c:pt>
                <c:pt idx="9">
                  <c:v>Mures</c:v>
                </c:pt>
                <c:pt idx="10">
                  <c:v>Sibiu</c:v>
                </c:pt>
                <c:pt idx="11">
                  <c:v>Bacau</c:v>
                </c:pt>
                <c:pt idx="12">
                  <c:v>Botosani</c:v>
                </c:pt>
                <c:pt idx="13">
                  <c:v>Iasi</c:v>
                </c:pt>
                <c:pt idx="14">
                  <c:v>Neamt</c:v>
                </c:pt>
                <c:pt idx="15">
                  <c:v>Suceava</c:v>
                </c:pt>
                <c:pt idx="16">
                  <c:v>Vaslui</c:v>
                </c:pt>
                <c:pt idx="17">
                  <c:v>Braila</c:v>
                </c:pt>
                <c:pt idx="18">
                  <c:v>Buzau</c:v>
                </c:pt>
                <c:pt idx="19">
                  <c:v>Constanta</c:v>
                </c:pt>
                <c:pt idx="20">
                  <c:v>Galati</c:v>
                </c:pt>
                <c:pt idx="21">
                  <c:v>Tulcea</c:v>
                </c:pt>
                <c:pt idx="22">
                  <c:v>Vrancea</c:v>
                </c:pt>
                <c:pt idx="23">
                  <c:v>Arges</c:v>
                </c:pt>
                <c:pt idx="24">
                  <c:v>Calarasi</c:v>
                </c:pt>
                <c:pt idx="25">
                  <c:v>Dambovita</c:v>
                </c:pt>
                <c:pt idx="26">
                  <c:v>Giurgiu</c:v>
                </c:pt>
                <c:pt idx="27">
                  <c:v>Ialomita</c:v>
                </c:pt>
                <c:pt idx="28">
                  <c:v>Prahova</c:v>
                </c:pt>
                <c:pt idx="29">
                  <c:v>Teleorman</c:v>
                </c:pt>
              </c:strCache>
            </c:strRef>
          </c:cat>
          <c:val>
            <c:numRef>
              <c:f>'Main sheet'!$B$2:$B$31</c:f>
              <c:numCache>
                <c:formatCode>General</c:formatCode>
                <c:ptCount val="30"/>
                <c:pt idx="0">
                  <c:v>4</c:v>
                </c:pt>
                <c:pt idx="1">
                  <c:v>37</c:v>
                </c:pt>
                <c:pt idx="2">
                  <c:v>15</c:v>
                </c:pt>
                <c:pt idx="3">
                  <c:v>6</c:v>
                </c:pt>
                <c:pt idx="4">
                  <c:v>6</c:v>
                </c:pt>
                <c:pt idx="5">
                  <c:v>11</c:v>
                </c:pt>
                <c:pt idx="6">
                  <c:v>23</c:v>
                </c:pt>
                <c:pt idx="7">
                  <c:v>4</c:v>
                </c:pt>
                <c:pt idx="8">
                  <c:v>7</c:v>
                </c:pt>
                <c:pt idx="9">
                  <c:v>16</c:v>
                </c:pt>
                <c:pt idx="10">
                  <c:v>12</c:v>
                </c:pt>
                <c:pt idx="11">
                  <c:v>16</c:v>
                </c:pt>
                <c:pt idx="12">
                  <c:v>4</c:v>
                </c:pt>
                <c:pt idx="13">
                  <c:v>29</c:v>
                </c:pt>
                <c:pt idx="14">
                  <c:v>7</c:v>
                </c:pt>
                <c:pt idx="15">
                  <c:v>14</c:v>
                </c:pt>
                <c:pt idx="16">
                  <c:v>5</c:v>
                </c:pt>
                <c:pt idx="17">
                  <c:v>5</c:v>
                </c:pt>
                <c:pt idx="18">
                  <c:v>9</c:v>
                </c:pt>
                <c:pt idx="19">
                  <c:v>20</c:v>
                </c:pt>
                <c:pt idx="20">
                  <c:v>10</c:v>
                </c:pt>
                <c:pt idx="21">
                  <c:v>4</c:v>
                </c:pt>
                <c:pt idx="22">
                  <c:v>7</c:v>
                </c:pt>
                <c:pt idx="23">
                  <c:v>17</c:v>
                </c:pt>
                <c:pt idx="24">
                  <c:v>6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25</c:v>
                </c:pt>
                <c:pt idx="2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2-462B-99CA-0BA1422C1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3603183"/>
        <c:axId val="1659154431"/>
      </c:barChart>
      <c:catAx>
        <c:axId val="147360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154431"/>
        <c:crosses val="autoZero"/>
        <c:auto val="1"/>
        <c:lblAlgn val="ctr"/>
        <c:lblOffset val="100"/>
        <c:noMultiLvlLbl val="0"/>
      </c:catAx>
      <c:valAx>
        <c:axId val="165915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0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Physicians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Physicians!$E$10:$E$16</c:f>
              <c:strCache>
                <c:ptCount val="7"/>
                <c:pt idx="0">
                  <c:v>(313-436)</c:v>
                </c:pt>
                <c:pt idx="1">
                  <c:v>(456-543)</c:v>
                </c:pt>
                <c:pt idx="2">
                  <c:v>(565-630)</c:v>
                </c:pt>
                <c:pt idx="3">
                  <c:v>(672-984)</c:v>
                </c:pt>
                <c:pt idx="4">
                  <c:v>(1065-1561)</c:v>
                </c:pt>
                <c:pt idx="5">
                  <c:v>(2035-5294)</c:v>
                </c:pt>
                <c:pt idx="6">
                  <c:v>More</c:v>
                </c:pt>
              </c:strCache>
            </c:strRef>
          </c:cat>
          <c:val>
            <c:numRef>
              <c:f>Physicians!$F$10:$F$16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E-4F5A-8876-5DAED96F3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01756600"/>
        <c:axId val="401756992"/>
      </c:barChart>
      <c:catAx>
        <c:axId val="401756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1756992"/>
        <c:crosses val="autoZero"/>
        <c:auto val="1"/>
        <c:lblAlgn val="ctr"/>
        <c:lblOffset val="100"/>
        <c:noMultiLvlLbl val="0"/>
      </c:catAx>
      <c:valAx>
        <c:axId val="4017569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1756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 sheet'!$C$1</c:f>
              <c:strCache>
                <c:ptCount val="1"/>
                <c:pt idx="0">
                  <c:v>Physicians (dentists excluded)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'Main sheet'!$A$2:$A$31</c:f>
              <c:strCache>
                <c:ptCount val="30"/>
                <c:pt idx="0">
                  <c:v>Bistrita-Nasaud</c:v>
                </c:pt>
                <c:pt idx="1">
                  <c:v>Cluj</c:v>
                </c:pt>
                <c:pt idx="2">
                  <c:v>Maramures</c:v>
                </c:pt>
                <c:pt idx="3">
                  <c:v>Satu Mare</c:v>
                </c:pt>
                <c:pt idx="4">
                  <c:v>Salaj</c:v>
                </c:pt>
                <c:pt idx="5">
                  <c:v>Alba</c:v>
                </c:pt>
                <c:pt idx="6">
                  <c:v>Brasov</c:v>
                </c:pt>
                <c:pt idx="7">
                  <c:v>Covasna</c:v>
                </c:pt>
                <c:pt idx="8">
                  <c:v>Harghita</c:v>
                </c:pt>
                <c:pt idx="9">
                  <c:v>Mures</c:v>
                </c:pt>
                <c:pt idx="10">
                  <c:v>Sibiu</c:v>
                </c:pt>
                <c:pt idx="11">
                  <c:v>Bacau</c:v>
                </c:pt>
                <c:pt idx="12">
                  <c:v>Botosani</c:v>
                </c:pt>
                <c:pt idx="13">
                  <c:v>Iasi</c:v>
                </c:pt>
                <c:pt idx="14">
                  <c:v>Neamt</c:v>
                </c:pt>
                <c:pt idx="15">
                  <c:v>Suceava</c:v>
                </c:pt>
                <c:pt idx="16">
                  <c:v>Vaslui</c:v>
                </c:pt>
                <c:pt idx="17">
                  <c:v>Braila</c:v>
                </c:pt>
                <c:pt idx="18">
                  <c:v>Buzau</c:v>
                </c:pt>
                <c:pt idx="19">
                  <c:v>Constanta</c:v>
                </c:pt>
                <c:pt idx="20">
                  <c:v>Galati</c:v>
                </c:pt>
                <c:pt idx="21">
                  <c:v>Tulcea</c:v>
                </c:pt>
                <c:pt idx="22">
                  <c:v>Vrancea</c:v>
                </c:pt>
                <c:pt idx="23">
                  <c:v>Arges</c:v>
                </c:pt>
                <c:pt idx="24">
                  <c:v>Calarasi</c:v>
                </c:pt>
                <c:pt idx="25">
                  <c:v>Dambovita</c:v>
                </c:pt>
                <c:pt idx="26">
                  <c:v>Giurgiu</c:v>
                </c:pt>
                <c:pt idx="27">
                  <c:v>Ialomita</c:v>
                </c:pt>
                <c:pt idx="28">
                  <c:v>Prahova</c:v>
                </c:pt>
                <c:pt idx="29">
                  <c:v>Teleorman</c:v>
                </c:pt>
              </c:strCache>
            </c:strRef>
          </c:cat>
          <c:val>
            <c:numRef>
              <c:f>'Main sheet'!$C$2:$C$31</c:f>
              <c:numCache>
                <c:formatCode>General</c:formatCode>
                <c:ptCount val="30"/>
                <c:pt idx="0">
                  <c:v>504</c:v>
                </c:pt>
                <c:pt idx="1">
                  <c:v>4383</c:v>
                </c:pt>
                <c:pt idx="2">
                  <c:v>948</c:v>
                </c:pt>
                <c:pt idx="3">
                  <c:v>630</c:v>
                </c:pt>
                <c:pt idx="4">
                  <c:v>456</c:v>
                </c:pt>
                <c:pt idx="5">
                  <c:v>672</c:v>
                </c:pt>
                <c:pt idx="6">
                  <c:v>2035</c:v>
                </c:pt>
                <c:pt idx="7">
                  <c:v>436</c:v>
                </c:pt>
                <c:pt idx="8">
                  <c:v>620</c:v>
                </c:pt>
                <c:pt idx="9">
                  <c:v>2984</c:v>
                </c:pt>
                <c:pt idx="10">
                  <c:v>1561</c:v>
                </c:pt>
                <c:pt idx="11">
                  <c:v>1065</c:v>
                </c:pt>
                <c:pt idx="12">
                  <c:v>674</c:v>
                </c:pt>
                <c:pt idx="13">
                  <c:v>5294</c:v>
                </c:pt>
                <c:pt idx="14">
                  <c:v>862</c:v>
                </c:pt>
                <c:pt idx="15">
                  <c:v>984</c:v>
                </c:pt>
                <c:pt idx="16">
                  <c:v>543</c:v>
                </c:pt>
                <c:pt idx="17">
                  <c:v>565</c:v>
                </c:pt>
                <c:pt idx="18">
                  <c:v>629</c:v>
                </c:pt>
                <c:pt idx="19">
                  <c:v>2608</c:v>
                </c:pt>
                <c:pt idx="20">
                  <c:v>1203</c:v>
                </c:pt>
                <c:pt idx="21">
                  <c:v>321</c:v>
                </c:pt>
                <c:pt idx="22">
                  <c:v>523</c:v>
                </c:pt>
                <c:pt idx="23">
                  <c:v>1538</c:v>
                </c:pt>
                <c:pt idx="24">
                  <c:v>347</c:v>
                </c:pt>
                <c:pt idx="25">
                  <c:v>604</c:v>
                </c:pt>
                <c:pt idx="26">
                  <c:v>313</c:v>
                </c:pt>
                <c:pt idx="27">
                  <c:v>360</c:v>
                </c:pt>
                <c:pt idx="28">
                  <c:v>1197</c:v>
                </c:pt>
                <c:pt idx="29">
                  <c:v>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8-4CA4-9937-B26056BDC6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3623823"/>
        <c:axId val="1658358383"/>
      </c:barChart>
      <c:catAx>
        <c:axId val="147362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358383"/>
        <c:crosses val="autoZero"/>
        <c:auto val="1"/>
        <c:lblAlgn val="ctr"/>
        <c:lblOffset val="100"/>
        <c:noMultiLvlLbl val="0"/>
      </c:catAx>
      <c:valAx>
        <c:axId val="165835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2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Family</a:t>
            </a:r>
            <a:r>
              <a:rPr lang="en-US" baseline="0"/>
              <a:t> doctors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'Family doctors'!$B$20:$B$26</c:f>
              <c:strCache>
                <c:ptCount val="7"/>
                <c:pt idx="0">
                  <c:v>(80-108)</c:v>
                </c:pt>
                <c:pt idx="1">
                  <c:v>(133-141)</c:v>
                </c:pt>
                <c:pt idx="2">
                  <c:v>(153-174)</c:v>
                </c:pt>
                <c:pt idx="3">
                  <c:v>(193-250)</c:v>
                </c:pt>
                <c:pt idx="4">
                  <c:v>(256-362)</c:v>
                </c:pt>
                <c:pt idx="5">
                  <c:v>(387-542)</c:v>
                </c:pt>
                <c:pt idx="6">
                  <c:v>More</c:v>
                </c:pt>
              </c:strCache>
            </c:strRef>
          </c:cat>
          <c:val>
            <c:numRef>
              <c:f>'Family doctors'!$C$20:$C$26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7-4BC3-A51A-B028C67A1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97237960"/>
        <c:axId val="397232864"/>
      </c:barChart>
      <c:catAx>
        <c:axId val="397237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7232864"/>
        <c:crosses val="autoZero"/>
        <c:auto val="1"/>
        <c:lblAlgn val="ctr"/>
        <c:lblOffset val="100"/>
        <c:noMultiLvlLbl val="0"/>
      </c:catAx>
      <c:valAx>
        <c:axId val="397232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7237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 sheet'!$D$1</c:f>
              <c:strCache>
                <c:ptCount val="1"/>
                <c:pt idx="0">
                  <c:v>Family doctors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'Main sheet'!$A$2:$A$31</c:f>
              <c:strCache>
                <c:ptCount val="30"/>
                <c:pt idx="0">
                  <c:v>Bistrita-Nasaud</c:v>
                </c:pt>
                <c:pt idx="1">
                  <c:v>Cluj</c:v>
                </c:pt>
                <c:pt idx="2">
                  <c:v>Maramures</c:v>
                </c:pt>
                <c:pt idx="3">
                  <c:v>Satu Mare</c:v>
                </c:pt>
                <c:pt idx="4">
                  <c:v>Salaj</c:v>
                </c:pt>
                <c:pt idx="5">
                  <c:v>Alba</c:v>
                </c:pt>
                <c:pt idx="6">
                  <c:v>Brasov</c:v>
                </c:pt>
                <c:pt idx="7">
                  <c:v>Covasna</c:v>
                </c:pt>
                <c:pt idx="8">
                  <c:v>Harghita</c:v>
                </c:pt>
                <c:pt idx="9">
                  <c:v>Mures</c:v>
                </c:pt>
                <c:pt idx="10">
                  <c:v>Sibiu</c:v>
                </c:pt>
                <c:pt idx="11">
                  <c:v>Bacau</c:v>
                </c:pt>
                <c:pt idx="12">
                  <c:v>Botosani</c:v>
                </c:pt>
                <c:pt idx="13">
                  <c:v>Iasi</c:v>
                </c:pt>
                <c:pt idx="14">
                  <c:v>Neamt</c:v>
                </c:pt>
                <c:pt idx="15">
                  <c:v>Suceava</c:v>
                </c:pt>
                <c:pt idx="16">
                  <c:v>Vaslui</c:v>
                </c:pt>
                <c:pt idx="17">
                  <c:v>Braila</c:v>
                </c:pt>
                <c:pt idx="18">
                  <c:v>Buzau</c:v>
                </c:pt>
                <c:pt idx="19">
                  <c:v>Constanta</c:v>
                </c:pt>
                <c:pt idx="20">
                  <c:v>Galati</c:v>
                </c:pt>
                <c:pt idx="21">
                  <c:v>Tulcea</c:v>
                </c:pt>
                <c:pt idx="22">
                  <c:v>Vrancea</c:v>
                </c:pt>
                <c:pt idx="23">
                  <c:v>Arges</c:v>
                </c:pt>
                <c:pt idx="24">
                  <c:v>Calarasi</c:v>
                </c:pt>
                <c:pt idx="25">
                  <c:v>Dambovita</c:v>
                </c:pt>
                <c:pt idx="26">
                  <c:v>Giurgiu</c:v>
                </c:pt>
                <c:pt idx="27">
                  <c:v>Ialomita</c:v>
                </c:pt>
                <c:pt idx="28">
                  <c:v>Prahova</c:v>
                </c:pt>
                <c:pt idx="29">
                  <c:v>Teleorman</c:v>
                </c:pt>
              </c:strCache>
            </c:strRef>
          </c:cat>
          <c:val>
            <c:numRef>
              <c:f>'Main sheet'!$D$2:$D$31</c:f>
              <c:numCache>
                <c:formatCode>General</c:formatCode>
                <c:ptCount val="30"/>
                <c:pt idx="0">
                  <c:v>133</c:v>
                </c:pt>
                <c:pt idx="1">
                  <c:v>491</c:v>
                </c:pt>
                <c:pt idx="2">
                  <c:v>244</c:v>
                </c:pt>
                <c:pt idx="3">
                  <c:v>174</c:v>
                </c:pt>
                <c:pt idx="4">
                  <c:v>108</c:v>
                </c:pt>
                <c:pt idx="5">
                  <c:v>166</c:v>
                </c:pt>
                <c:pt idx="6">
                  <c:v>400</c:v>
                </c:pt>
                <c:pt idx="7">
                  <c:v>91</c:v>
                </c:pt>
                <c:pt idx="8">
                  <c:v>162</c:v>
                </c:pt>
                <c:pt idx="9">
                  <c:v>387</c:v>
                </c:pt>
                <c:pt idx="10">
                  <c:v>317</c:v>
                </c:pt>
                <c:pt idx="11">
                  <c:v>250</c:v>
                </c:pt>
                <c:pt idx="12">
                  <c:v>153</c:v>
                </c:pt>
                <c:pt idx="13">
                  <c:v>542</c:v>
                </c:pt>
                <c:pt idx="14">
                  <c:v>238</c:v>
                </c:pt>
                <c:pt idx="15">
                  <c:v>256</c:v>
                </c:pt>
                <c:pt idx="16">
                  <c:v>141</c:v>
                </c:pt>
                <c:pt idx="17">
                  <c:v>137</c:v>
                </c:pt>
                <c:pt idx="18">
                  <c:v>193</c:v>
                </c:pt>
                <c:pt idx="19">
                  <c:v>441</c:v>
                </c:pt>
                <c:pt idx="20">
                  <c:v>297</c:v>
                </c:pt>
                <c:pt idx="21">
                  <c:v>80</c:v>
                </c:pt>
                <c:pt idx="22">
                  <c:v>141</c:v>
                </c:pt>
                <c:pt idx="23">
                  <c:v>335</c:v>
                </c:pt>
                <c:pt idx="24">
                  <c:v>108</c:v>
                </c:pt>
                <c:pt idx="25">
                  <c:v>211</c:v>
                </c:pt>
                <c:pt idx="26">
                  <c:v>102</c:v>
                </c:pt>
                <c:pt idx="27">
                  <c:v>106</c:v>
                </c:pt>
                <c:pt idx="28">
                  <c:v>362</c:v>
                </c:pt>
                <c:pt idx="29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6-4818-9810-A0B667DD2F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3606543"/>
        <c:axId val="1465502719"/>
      </c:barChart>
      <c:catAx>
        <c:axId val="147360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502719"/>
        <c:crosses val="autoZero"/>
        <c:auto val="1"/>
        <c:lblAlgn val="ctr"/>
        <c:lblOffset val="100"/>
        <c:noMultiLvlLbl val="0"/>
      </c:catAx>
      <c:valAx>
        <c:axId val="14655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0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No. of bed from sanitary units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'Sanitary beds'!$B$18:$B$24</c:f>
              <c:strCache>
                <c:ptCount val="7"/>
                <c:pt idx="0">
                  <c:v>(831-1303)</c:v>
                </c:pt>
                <c:pt idx="1">
                  <c:v>(1327-1913)</c:v>
                </c:pt>
                <c:pt idx="2">
                  <c:v>(1951-2191)</c:v>
                </c:pt>
                <c:pt idx="3">
                  <c:v>(2340-2920)</c:v>
                </c:pt>
                <c:pt idx="4">
                  <c:v>(2965-3877)</c:v>
                </c:pt>
                <c:pt idx="5">
                  <c:v>(4160-7575)</c:v>
                </c:pt>
                <c:pt idx="6">
                  <c:v>More</c:v>
                </c:pt>
              </c:strCache>
            </c:strRef>
          </c:cat>
          <c:val>
            <c:numRef>
              <c:f>'Sanitary beds'!$C$18:$C$24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B-4F81-8A1E-02D291F8A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97233256"/>
        <c:axId val="397234040"/>
      </c:barChart>
      <c:catAx>
        <c:axId val="397233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7234040"/>
        <c:crosses val="autoZero"/>
        <c:auto val="1"/>
        <c:lblAlgn val="ctr"/>
        <c:lblOffset val="100"/>
        <c:noMultiLvlLbl val="0"/>
      </c:catAx>
      <c:valAx>
        <c:axId val="397234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7233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Sanitary 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 sheet'!$E$1</c:f>
              <c:strCache>
                <c:ptCount val="1"/>
                <c:pt idx="0">
                  <c:v>Number of the beds from sanitary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'Main sheet'!$A$2:$A$31</c:f>
              <c:strCache>
                <c:ptCount val="30"/>
                <c:pt idx="0">
                  <c:v>Bistrita-Nasaud</c:v>
                </c:pt>
                <c:pt idx="1">
                  <c:v>Cluj</c:v>
                </c:pt>
                <c:pt idx="2">
                  <c:v>Maramures</c:v>
                </c:pt>
                <c:pt idx="3">
                  <c:v>Satu Mare</c:v>
                </c:pt>
                <c:pt idx="4">
                  <c:v>Salaj</c:v>
                </c:pt>
                <c:pt idx="5">
                  <c:v>Alba</c:v>
                </c:pt>
                <c:pt idx="6">
                  <c:v>Brasov</c:v>
                </c:pt>
                <c:pt idx="7">
                  <c:v>Covasna</c:v>
                </c:pt>
                <c:pt idx="8">
                  <c:v>Harghita</c:v>
                </c:pt>
                <c:pt idx="9">
                  <c:v>Mures</c:v>
                </c:pt>
                <c:pt idx="10">
                  <c:v>Sibiu</c:v>
                </c:pt>
                <c:pt idx="11">
                  <c:v>Bacau</c:v>
                </c:pt>
                <c:pt idx="12">
                  <c:v>Botosani</c:v>
                </c:pt>
                <c:pt idx="13">
                  <c:v>Iasi</c:v>
                </c:pt>
                <c:pt idx="14">
                  <c:v>Neamt</c:v>
                </c:pt>
                <c:pt idx="15">
                  <c:v>Suceava</c:v>
                </c:pt>
                <c:pt idx="16">
                  <c:v>Vaslui</c:v>
                </c:pt>
                <c:pt idx="17">
                  <c:v>Braila</c:v>
                </c:pt>
                <c:pt idx="18">
                  <c:v>Buzau</c:v>
                </c:pt>
                <c:pt idx="19">
                  <c:v>Constanta</c:v>
                </c:pt>
                <c:pt idx="20">
                  <c:v>Galati</c:v>
                </c:pt>
                <c:pt idx="21">
                  <c:v>Tulcea</c:v>
                </c:pt>
                <c:pt idx="22">
                  <c:v>Vrancea</c:v>
                </c:pt>
                <c:pt idx="23">
                  <c:v>Arges</c:v>
                </c:pt>
                <c:pt idx="24">
                  <c:v>Calarasi</c:v>
                </c:pt>
                <c:pt idx="25">
                  <c:v>Dambovita</c:v>
                </c:pt>
                <c:pt idx="26">
                  <c:v>Giurgiu</c:v>
                </c:pt>
                <c:pt idx="27">
                  <c:v>Ialomita</c:v>
                </c:pt>
                <c:pt idx="28">
                  <c:v>Prahova</c:v>
                </c:pt>
                <c:pt idx="29">
                  <c:v>Teleorman</c:v>
                </c:pt>
              </c:strCache>
            </c:strRef>
          </c:cat>
          <c:val>
            <c:numRef>
              <c:f>'Main sheet'!$E$2:$E$31</c:f>
              <c:numCache>
                <c:formatCode>General</c:formatCode>
                <c:ptCount val="30"/>
                <c:pt idx="0">
                  <c:v>1520</c:v>
                </c:pt>
                <c:pt idx="1">
                  <c:v>7142</c:v>
                </c:pt>
                <c:pt idx="2">
                  <c:v>2920</c:v>
                </c:pt>
                <c:pt idx="3">
                  <c:v>1804</c:v>
                </c:pt>
                <c:pt idx="4">
                  <c:v>1303</c:v>
                </c:pt>
                <c:pt idx="5">
                  <c:v>2087</c:v>
                </c:pt>
                <c:pt idx="6">
                  <c:v>3877</c:v>
                </c:pt>
                <c:pt idx="7">
                  <c:v>1810</c:v>
                </c:pt>
                <c:pt idx="8">
                  <c:v>1966</c:v>
                </c:pt>
                <c:pt idx="9">
                  <c:v>4160</c:v>
                </c:pt>
                <c:pt idx="10">
                  <c:v>2814</c:v>
                </c:pt>
                <c:pt idx="11">
                  <c:v>3391</c:v>
                </c:pt>
                <c:pt idx="12">
                  <c:v>2191</c:v>
                </c:pt>
                <c:pt idx="13">
                  <c:v>7575</c:v>
                </c:pt>
                <c:pt idx="14">
                  <c:v>2340</c:v>
                </c:pt>
                <c:pt idx="15">
                  <c:v>3091</c:v>
                </c:pt>
                <c:pt idx="16">
                  <c:v>1951</c:v>
                </c:pt>
                <c:pt idx="17">
                  <c:v>1952</c:v>
                </c:pt>
                <c:pt idx="18">
                  <c:v>2581</c:v>
                </c:pt>
                <c:pt idx="19">
                  <c:v>4485</c:v>
                </c:pt>
                <c:pt idx="20">
                  <c:v>2965</c:v>
                </c:pt>
                <c:pt idx="21">
                  <c:v>831</c:v>
                </c:pt>
                <c:pt idx="22">
                  <c:v>1327</c:v>
                </c:pt>
                <c:pt idx="23">
                  <c:v>3619</c:v>
                </c:pt>
                <c:pt idx="24">
                  <c:v>1211</c:v>
                </c:pt>
                <c:pt idx="25">
                  <c:v>2357</c:v>
                </c:pt>
                <c:pt idx="26">
                  <c:v>831</c:v>
                </c:pt>
                <c:pt idx="27">
                  <c:v>859</c:v>
                </c:pt>
                <c:pt idx="28">
                  <c:v>4415</c:v>
                </c:pt>
                <c:pt idx="29">
                  <c:v>1913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A-4CBA-B0E7-653F432C45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3607023"/>
        <c:axId val="1671571823"/>
      </c:barChart>
      <c:catAx>
        <c:axId val="147360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571823"/>
        <c:crosses val="autoZero"/>
        <c:auto val="1"/>
        <c:lblAlgn val="ctr"/>
        <c:lblOffset val="100"/>
        <c:noMultiLvlLbl val="0"/>
      </c:catAx>
      <c:valAx>
        <c:axId val="167157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0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 sheet'!$F$1</c:f>
              <c:strCache>
                <c:ptCount val="1"/>
                <c:pt idx="0">
                  <c:v>Number of deaths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'Main sheet'!$A$2:$A$31</c:f>
              <c:strCache>
                <c:ptCount val="30"/>
                <c:pt idx="0">
                  <c:v>Bistrita-Nasaud</c:v>
                </c:pt>
                <c:pt idx="1">
                  <c:v>Cluj</c:v>
                </c:pt>
                <c:pt idx="2">
                  <c:v>Maramures</c:v>
                </c:pt>
                <c:pt idx="3">
                  <c:v>Satu Mare</c:v>
                </c:pt>
                <c:pt idx="4">
                  <c:v>Salaj</c:v>
                </c:pt>
                <c:pt idx="5">
                  <c:v>Alba</c:v>
                </c:pt>
                <c:pt idx="6">
                  <c:v>Brasov</c:v>
                </c:pt>
                <c:pt idx="7">
                  <c:v>Covasna</c:v>
                </c:pt>
                <c:pt idx="8">
                  <c:v>Harghita</c:v>
                </c:pt>
                <c:pt idx="9">
                  <c:v>Mures</c:v>
                </c:pt>
                <c:pt idx="10">
                  <c:v>Sibiu</c:v>
                </c:pt>
                <c:pt idx="11">
                  <c:v>Bacau</c:v>
                </c:pt>
                <c:pt idx="12">
                  <c:v>Botosani</c:v>
                </c:pt>
                <c:pt idx="13">
                  <c:v>Iasi</c:v>
                </c:pt>
                <c:pt idx="14">
                  <c:v>Neamt</c:v>
                </c:pt>
                <c:pt idx="15">
                  <c:v>Suceava</c:v>
                </c:pt>
                <c:pt idx="16">
                  <c:v>Vaslui</c:v>
                </c:pt>
                <c:pt idx="17">
                  <c:v>Braila</c:v>
                </c:pt>
                <c:pt idx="18">
                  <c:v>Buzau</c:v>
                </c:pt>
                <c:pt idx="19">
                  <c:v>Constanta</c:v>
                </c:pt>
                <c:pt idx="20">
                  <c:v>Galati</c:v>
                </c:pt>
                <c:pt idx="21">
                  <c:v>Tulcea</c:v>
                </c:pt>
                <c:pt idx="22">
                  <c:v>Vrancea</c:v>
                </c:pt>
                <c:pt idx="23">
                  <c:v>Arges</c:v>
                </c:pt>
                <c:pt idx="24">
                  <c:v>Calarasi</c:v>
                </c:pt>
                <c:pt idx="25">
                  <c:v>Dambovita</c:v>
                </c:pt>
                <c:pt idx="26">
                  <c:v>Giurgiu</c:v>
                </c:pt>
                <c:pt idx="27">
                  <c:v>Ialomita</c:v>
                </c:pt>
                <c:pt idx="28">
                  <c:v>Prahova</c:v>
                </c:pt>
                <c:pt idx="29">
                  <c:v>Teleorman</c:v>
                </c:pt>
              </c:strCache>
            </c:strRef>
          </c:cat>
          <c:val>
            <c:numRef>
              <c:f>'Main sheet'!$F$2:$F$31</c:f>
              <c:numCache>
                <c:formatCode>General</c:formatCode>
                <c:ptCount val="30"/>
                <c:pt idx="0">
                  <c:v>3500</c:v>
                </c:pt>
                <c:pt idx="1">
                  <c:v>8697</c:v>
                </c:pt>
                <c:pt idx="2">
                  <c:v>5995</c:v>
                </c:pt>
                <c:pt idx="3">
                  <c:v>4485</c:v>
                </c:pt>
                <c:pt idx="4">
                  <c:v>3161</c:v>
                </c:pt>
                <c:pt idx="5">
                  <c:v>4646</c:v>
                </c:pt>
                <c:pt idx="6">
                  <c:v>6981</c:v>
                </c:pt>
                <c:pt idx="7">
                  <c:v>2756</c:v>
                </c:pt>
                <c:pt idx="8">
                  <c:v>3924</c:v>
                </c:pt>
                <c:pt idx="9">
                  <c:v>7686</c:v>
                </c:pt>
                <c:pt idx="10">
                  <c:v>4836</c:v>
                </c:pt>
                <c:pt idx="11">
                  <c:v>9129</c:v>
                </c:pt>
                <c:pt idx="12">
                  <c:v>5729</c:v>
                </c:pt>
                <c:pt idx="13">
                  <c:v>9282</c:v>
                </c:pt>
                <c:pt idx="14">
                  <c:v>7195</c:v>
                </c:pt>
                <c:pt idx="15">
                  <c:v>8053</c:v>
                </c:pt>
                <c:pt idx="16">
                  <c:v>5577</c:v>
                </c:pt>
                <c:pt idx="17">
                  <c:v>5189</c:v>
                </c:pt>
                <c:pt idx="18">
                  <c:v>6977</c:v>
                </c:pt>
                <c:pt idx="19">
                  <c:v>9203</c:v>
                </c:pt>
                <c:pt idx="20">
                  <c:v>7431</c:v>
                </c:pt>
                <c:pt idx="21">
                  <c:v>3160</c:v>
                </c:pt>
                <c:pt idx="22">
                  <c:v>4842</c:v>
                </c:pt>
                <c:pt idx="23">
                  <c:v>8193</c:v>
                </c:pt>
                <c:pt idx="24">
                  <c:v>4623</c:v>
                </c:pt>
                <c:pt idx="25">
                  <c:v>6873</c:v>
                </c:pt>
                <c:pt idx="26">
                  <c:v>4418</c:v>
                </c:pt>
                <c:pt idx="27">
                  <c:v>4087</c:v>
                </c:pt>
                <c:pt idx="28">
                  <c:v>11195</c:v>
                </c:pt>
                <c:pt idx="29">
                  <c:v>6286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F-4D44-AEC5-D466672211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3611823"/>
        <c:axId val="1659670127"/>
      </c:barChart>
      <c:catAx>
        <c:axId val="147361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70127"/>
        <c:crosses val="autoZero"/>
        <c:auto val="1"/>
        <c:lblAlgn val="ctr"/>
        <c:lblOffset val="100"/>
        <c:noMultiLvlLbl val="0"/>
      </c:catAx>
      <c:valAx>
        <c:axId val="165967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1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Beds and Family</a:t>
            </a:r>
            <a:r>
              <a:rPr lang="en-US" baseline="0"/>
              <a:t> Doctors</a:t>
            </a:r>
            <a:endParaRPr lang="en-US"/>
          </a:p>
        </c:rich>
      </c:tx>
      <c:layout>
        <c:manualLayout>
          <c:xMode val="edge"/>
          <c:yMode val="edge"/>
          <c:x val="0.2985971128608924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'Main sheet'!$D$2:$D$31</c:f>
              <c:numCache>
                <c:formatCode>General</c:formatCode>
                <c:ptCount val="30"/>
                <c:pt idx="0">
                  <c:v>133</c:v>
                </c:pt>
                <c:pt idx="1">
                  <c:v>491</c:v>
                </c:pt>
                <c:pt idx="2">
                  <c:v>244</c:v>
                </c:pt>
                <c:pt idx="3">
                  <c:v>174</c:v>
                </c:pt>
                <c:pt idx="4">
                  <c:v>108</c:v>
                </c:pt>
                <c:pt idx="5">
                  <c:v>166</c:v>
                </c:pt>
                <c:pt idx="6">
                  <c:v>400</c:v>
                </c:pt>
                <c:pt idx="7">
                  <c:v>91</c:v>
                </c:pt>
                <c:pt idx="8">
                  <c:v>162</c:v>
                </c:pt>
                <c:pt idx="9">
                  <c:v>387</c:v>
                </c:pt>
                <c:pt idx="10">
                  <c:v>317</c:v>
                </c:pt>
                <c:pt idx="11">
                  <c:v>250</c:v>
                </c:pt>
                <c:pt idx="12">
                  <c:v>153</c:v>
                </c:pt>
                <c:pt idx="13">
                  <c:v>542</c:v>
                </c:pt>
                <c:pt idx="14">
                  <c:v>238</c:v>
                </c:pt>
                <c:pt idx="15">
                  <c:v>256</c:v>
                </c:pt>
                <c:pt idx="16">
                  <c:v>141</c:v>
                </c:pt>
                <c:pt idx="17">
                  <c:v>137</c:v>
                </c:pt>
                <c:pt idx="18">
                  <c:v>193</c:v>
                </c:pt>
                <c:pt idx="19">
                  <c:v>441</c:v>
                </c:pt>
                <c:pt idx="20">
                  <c:v>297</c:v>
                </c:pt>
                <c:pt idx="21">
                  <c:v>80</c:v>
                </c:pt>
                <c:pt idx="22">
                  <c:v>141</c:v>
                </c:pt>
                <c:pt idx="23">
                  <c:v>335</c:v>
                </c:pt>
                <c:pt idx="24">
                  <c:v>108</c:v>
                </c:pt>
                <c:pt idx="25">
                  <c:v>211</c:v>
                </c:pt>
                <c:pt idx="26">
                  <c:v>102</c:v>
                </c:pt>
                <c:pt idx="27">
                  <c:v>106</c:v>
                </c:pt>
                <c:pt idx="28">
                  <c:v>362</c:v>
                </c:pt>
                <c:pt idx="29">
                  <c:v>153</c:v>
                </c:pt>
              </c:numCache>
            </c:numRef>
          </c:xVal>
          <c:yVal>
            <c:numRef>
              <c:f>'Main sheet'!$E$2:$E$31</c:f>
              <c:numCache>
                <c:formatCode>General</c:formatCode>
                <c:ptCount val="30"/>
                <c:pt idx="0">
                  <c:v>1520</c:v>
                </c:pt>
                <c:pt idx="1">
                  <c:v>7142</c:v>
                </c:pt>
                <c:pt idx="2">
                  <c:v>2920</c:v>
                </c:pt>
                <c:pt idx="3">
                  <c:v>1804</c:v>
                </c:pt>
                <c:pt idx="4">
                  <c:v>1303</c:v>
                </c:pt>
                <c:pt idx="5">
                  <c:v>2087</c:v>
                </c:pt>
                <c:pt idx="6">
                  <c:v>3877</c:v>
                </c:pt>
                <c:pt idx="7">
                  <c:v>1810</c:v>
                </c:pt>
                <c:pt idx="8">
                  <c:v>1966</c:v>
                </c:pt>
                <c:pt idx="9">
                  <c:v>4160</c:v>
                </c:pt>
                <c:pt idx="10">
                  <c:v>2814</c:v>
                </c:pt>
                <c:pt idx="11">
                  <c:v>3391</c:v>
                </c:pt>
                <c:pt idx="12">
                  <c:v>2191</c:v>
                </c:pt>
                <c:pt idx="13">
                  <c:v>7575</c:v>
                </c:pt>
                <c:pt idx="14">
                  <c:v>2340</c:v>
                </c:pt>
                <c:pt idx="15">
                  <c:v>3091</c:v>
                </c:pt>
                <c:pt idx="16">
                  <c:v>1951</c:v>
                </c:pt>
                <c:pt idx="17">
                  <c:v>1952</c:v>
                </c:pt>
                <c:pt idx="18">
                  <c:v>2581</c:v>
                </c:pt>
                <c:pt idx="19">
                  <c:v>4485</c:v>
                </c:pt>
                <c:pt idx="20">
                  <c:v>2965</c:v>
                </c:pt>
                <c:pt idx="21">
                  <c:v>831</c:v>
                </c:pt>
                <c:pt idx="22">
                  <c:v>1327</c:v>
                </c:pt>
                <c:pt idx="23">
                  <c:v>3619</c:v>
                </c:pt>
                <c:pt idx="24">
                  <c:v>1211</c:v>
                </c:pt>
                <c:pt idx="25">
                  <c:v>2357</c:v>
                </c:pt>
                <c:pt idx="26">
                  <c:v>831</c:v>
                </c:pt>
                <c:pt idx="27">
                  <c:v>859</c:v>
                </c:pt>
                <c:pt idx="28">
                  <c:v>4415</c:v>
                </c:pt>
                <c:pt idx="29">
                  <c:v>1913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D9-4D53-BD24-8024860A2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565792"/>
        <c:axId val="685117520"/>
      </c:scatterChart>
      <c:valAx>
        <c:axId val="55756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17520"/>
        <c:crosses val="autoZero"/>
        <c:crossBetween val="midCat"/>
      </c:valAx>
      <c:valAx>
        <c:axId val="68511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6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Box plot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r>
            <a:rPr lang="en-US"/>
            <a:t>Box plot</a:t>
          </a:r>
        </a:p>
      </cx:txPr>
    </cx:title>
    <cx:plotArea>
      <cx:plotAreaRegion>
        <cx:series layoutId="boxWhisker" uniqueId="{EA607039-FDA2-4147-83B3-A311E658D0C7}" formatIdx="0">
          <cx:tx>
            <cx:txData>
              <cx:f/>
              <cx:v>Hospitals</cx:v>
            </cx:txData>
          </cx:tx>
          <cx:spPr>
            <a:solidFill>
              <a:schemeClr val="accent1"/>
            </a:solidFill>
          </cx:spPr>
          <cx:dataLabels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 plot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r>
            <a:rPr lang="en-US"/>
            <a:t>Box plot</a:t>
          </a:r>
        </a:p>
      </cx:txPr>
    </cx:title>
    <cx:plotArea>
      <cx:plotAreaRegion>
        <cx:series layoutId="boxWhisker" uniqueId="{31DE4768-986B-4276-BCD9-36F7A91BFDD6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Box plot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r>
            <a:rPr lang="en-US"/>
            <a:t>Box plot</a:t>
          </a:r>
        </a:p>
      </cx:txPr>
    </cx:title>
    <cx:plotArea>
      <cx:plotAreaRegion>
        <cx:series layoutId="boxWhisker" uniqueId="{789A7905-7891-43F6-A2AB-AC5DC5FAA3DD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Box plot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r>
            <a:rPr lang="en-US"/>
            <a:t>Box plot</a:t>
          </a:r>
        </a:p>
      </cx:txPr>
    </cx:title>
    <cx:plotArea>
      <cx:plotAreaRegion>
        <cx:series layoutId="boxWhisker" uniqueId="{8B63C3D5-1FE8-4691-998B-103CE964D9D0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Box plot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r>
            <a:rPr lang="en-US"/>
            <a:t>Box plot</a:t>
          </a:r>
        </a:p>
      </cx:txPr>
    </cx:title>
    <cx:plotArea>
      <cx:plotAreaRegion>
        <cx:series layoutId="boxWhisker" uniqueId="{38FC8E2C-232F-4C0F-A299-A999BBF511A1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baseline="0"/>
    <cs:bodyPr rot="-60000000" vert="horz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 rot="0" vert="horz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baseline="0"/>
    <cs:bodyPr rot="-60000000" vert="horz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 rot="0" vert="horz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baseline="0"/>
    <cs:bodyPr rot="-60000000" vert="horz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 rot="0" vert="horz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baseline="0"/>
    <cs:bodyPr rot="-60000000" vert="horz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 rot="0" vert="horz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baseline="0"/>
    <cs:bodyPr rot="-60000000" vert="horz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 rot="0" vert="horz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5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471587</xdr:colOff>
      <xdr:row>24</xdr:row>
      <xdr:rowOff>73767</xdr:rowOff>
    </xdr:from>
    <xdr:to>
      <xdr:col>6</xdr:col>
      <xdr:colOff>696558</xdr:colOff>
      <xdr:row>34</xdr:row>
      <xdr:rowOff>98954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7257</xdr:colOff>
      <xdr:row>8</xdr:row>
      <xdr:rowOff>0</xdr:rowOff>
    </xdr:from>
    <xdr:to>
      <xdr:col>10</xdr:col>
      <xdr:colOff>331892</xdr:colOff>
      <xdr:row>22</xdr:row>
      <xdr:rowOff>44151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E6FD06-6B93-4051-8A11-086193DFD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160747</xdr:colOff>
      <xdr:row>7</xdr:row>
      <xdr:rowOff>182518</xdr:rowOff>
    </xdr:from>
    <xdr:to>
      <xdr:col>17</xdr:col>
      <xdr:colOff>327661</xdr:colOff>
      <xdr:row>22</xdr:row>
      <xdr:rowOff>95432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52BCF9A1-5246-4241-80DB-CE5A4AA144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18947" y="1676038"/>
              <a:ext cx="4571274" cy="27704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</xdr:colOff>
      <xdr:row>16</xdr:row>
      <xdr:rowOff>167640</xdr:rowOff>
    </xdr:from>
    <xdr:to>
      <xdr:col>5</xdr:col>
      <xdr:colOff>320040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519953</xdr:colOff>
      <xdr:row>16</xdr:row>
      <xdr:rowOff>107577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A81DE-F30A-4835-9A90-D6D1F44A2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17930</xdr:colOff>
      <xdr:row>17</xdr:row>
      <xdr:rowOff>44824</xdr:rowOff>
    </xdr:from>
    <xdr:to>
      <xdr:col>19</xdr:col>
      <xdr:colOff>322730</xdr:colOff>
      <xdr:row>31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E91B95B-941B-4B75-95FB-DBC452920D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9090" y="3610984"/>
              <a:ext cx="4572000" cy="27745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51995</xdr:colOff>
      <xdr:row>1</xdr:row>
      <xdr:rowOff>132678</xdr:rowOff>
    </xdr:from>
    <xdr:to>
      <xdr:col>11</xdr:col>
      <xdr:colOff>51995</xdr:colOff>
      <xdr:row>11</xdr:row>
      <xdr:rowOff>132678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11</xdr:col>
      <xdr:colOff>304800</xdr:colOff>
      <xdr:row>27</xdr:row>
      <xdr:rowOff>107576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F16B37-96B4-4742-B814-9A21881CE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277905</xdr:colOff>
      <xdr:row>15</xdr:row>
      <xdr:rowOff>170330</xdr:rowOff>
    </xdr:from>
    <xdr:to>
      <xdr:col>19</xdr:col>
      <xdr:colOff>304800</xdr:colOff>
      <xdr:row>30</xdr:row>
      <xdr:rowOff>89648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9124C6D-8614-4881-9F2C-561F08CE7B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87465" y="3187850"/>
              <a:ext cx="4568415" cy="27768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305889</xdr:colOff>
      <xdr:row>24</xdr:row>
      <xdr:rowOff>182880</xdr:rowOff>
    </xdr:from>
    <xdr:to>
      <xdr:col>4</xdr:col>
      <xdr:colOff>292826</xdr:colOff>
      <xdr:row>35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8</xdr:row>
      <xdr:rowOff>54428</xdr:rowOff>
    </xdr:from>
    <xdr:to>
      <xdr:col>10</xdr:col>
      <xdr:colOff>108857</xdr:colOff>
      <xdr:row>21</xdr:row>
      <xdr:rowOff>195942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43527E-8CED-49AC-B8EC-373BF6E1A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435429</xdr:colOff>
      <xdr:row>14</xdr:row>
      <xdr:rowOff>97972</xdr:rowOff>
    </xdr:from>
    <xdr:to>
      <xdr:col>21</xdr:col>
      <xdr:colOff>130629</xdr:colOff>
      <xdr:row>28</xdr:row>
      <xdr:rowOff>97972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DA5B71C-FFC7-4062-96F0-5FB8329732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3469" y="3092632"/>
              <a:ext cx="45720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251012</xdr:colOff>
      <xdr:row>0</xdr:row>
      <xdr:rowOff>188258</xdr:rowOff>
    </xdr:from>
    <xdr:to>
      <xdr:col>11</xdr:col>
      <xdr:colOff>923365</xdr:colOff>
      <xdr:row>13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B7615F-E4D8-4EE5-9DC5-9178FA38A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13</xdr:row>
      <xdr:rowOff>0</xdr:rowOff>
    </xdr:from>
    <xdr:to>
      <xdr:col>20</xdr:col>
      <xdr:colOff>304800</xdr:colOff>
      <xdr:row>27</xdr:row>
      <xdr:rowOff>107577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21E54F4-1479-4062-887B-50736D7770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65920" y="2804160"/>
              <a:ext cx="4572000" cy="27745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30480</xdr:rowOff>
    </xdr:from>
    <xdr:to>
      <xdr:col>5</xdr:col>
      <xdr:colOff>457200</xdr:colOff>
      <xdr:row>15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C2F6A8-6FF0-4541-A68F-EC13825CB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college\Statistics\FINAL%20STATISTICS.xlsx" TargetMode="External"/><Relationship Id="rId1" Type="http://schemas.openxmlformats.org/officeDocument/2006/relationships/externalLinkPath" Target="FINAL%20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  <sheetName val="Sheet4"/>
      <sheetName val="Sheet5"/>
      <sheetName val="Sheet6"/>
      <sheetName val="Sheet7"/>
      <sheetName val="Spearman"/>
      <sheetName val="Kendall"/>
      <sheetName val="Sheet2"/>
    </sheetNames>
    <sheetDataSet>
      <sheetData sheetId="0"/>
      <sheetData sheetId="1">
        <row r="2">
          <cell r="A2">
            <v>4</v>
          </cell>
        </row>
        <row r="3">
          <cell r="A3">
            <v>37</v>
          </cell>
        </row>
        <row r="4">
          <cell r="A4">
            <v>15</v>
          </cell>
        </row>
        <row r="5">
          <cell r="A5">
            <v>6</v>
          </cell>
        </row>
        <row r="6">
          <cell r="A6">
            <v>6</v>
          </cell>
        </row>
        <row r="7">
          <cell r="A7">
            <v>11</v>
          </cell>
        </row>
        <row r="8">
          <cell r="A8">
            <v>23</v>
          </cell>
        </row>
        <row r="9">
          <cell r="A9">
            <v>4</v>
          </cell>
        </row>
        <row r="10">
          <cell r="A10">
            <v>7</v>
          </cell>
        </row>
        <row r="11">
          <cell r="A11">
            <v>16</v>
          </cell>
        </row>
        <row r="12">
          <cell r="A12">
            <v>12</v>
          </cell>
        </row>
        <row r="13">
          <cell r="A13">
            <v>16</v>
          </cell>
        </row>
        <row r="14">
          <cell r="A14">
            <v>4</v>
          </cell>
        </row>
        <row r="15">
          <cell r="A15">
            <v>29</v>
          </cell>
        </row>
        <row r="16">
          <cell r="A16">
            <v>7</v>
          </cell>
        </row>
        <row r="17">
          <cell r="A17">
            <v>14</v>
          </cell>
        </row>
        <row r="18">
          <cell r="A18">
            <v>5</v>
          </cell>
        </row>
        <row r="19">
          <cell r="A19">
            <v>5</v>
          </cell>
        </row>
        <row r="20">
          <cell r="A20">
            <v>9</v>
          </cell>
        </row>
        <row r="21">
          <cell r="A21">
            <v>20</v>
          </cell>
        </row>
        <row r="22">
          <cell r="A22">
            <v>10</v>
          </cell>
        </row>
        <row r="23">
          <cell r="A23">
            <v>4</v>
          </cell>
        </row>
        <row r="24">
          <cell r="A24">
            <v>7</v>
          </cell>
        </row>
        <row r="25">
          <cell r="A25">
            <v>17</v>
          </cell>
        </row>
        <row r="26">
          <cell r="A26">
            <v>6</v>
          </cell>
        </row>
        <row r="27">
          <cell r="A27">
            <v>4</v>
          </cell>
        </row>
        <row r="28">
          <cell r="A28">
            <v>4</v>
          </cell>
        </row>
        <row r="29">
          <cell r="A29">
            <v>4</v>
          </cell>
        </row>
        <row r="30">
          <cell r="A30">
            <v>25</v>
          </cell>
        </row>
        <row r="31">
          <cell r="A31">
            <v>7</v>
          </cell>
        </row>
      </sheetData>
      <sheetData sheetId="2">
        <row r="2">
          <cell r="A2">
            <v>504</v>
          </cell>
        </row>
        <row r="3">
          <cell r="A3">
            <v>4383</v>
          </cell>
        </row>
        <row r="4">
          <cell r="A4">
            <v>948</v>
          </cell>
        </row>
        <row r="5">
          <cell r="A5">
            <v>630</v>
          </cell>
        </row>
        <row r="6">
          <cell r="A6">
            <v>456</v>
          </cell>
        </row>
        <row r="7">
          <cell r="A7">
            <v>672</v>
          </cell>
        </row>
        <row r="8">
          <cell r="A8">
            <v>2035</v>
          </cell>
        </row>
        <row r="9">
          <cell r="A9">
            <v>436</v>
          </cell>
        </row>
        <row r="10">
          <cell r="A10">
            <v>620</v>
          </cell>
        </row>
        <row r="11">
          <cell r="A11">
            <v>2984</v>
          </cell>
        </row>
        <row r="12">
          <cell r="A12">
            <v>1561</v>
          </cell>
        </row>
        <row r="13">
          <cell r="A13">
            <v>1065</v>
          </cell>
        </row>
        <row r="14">
          <cell r="A14">
            <v>674</v>
          </cell>
        </row>
        <row r="15">
          <cell r="A15">
            <v>5294</v>
          </cell>
        </row>
        <row r="16">
          <cell r="A16">
            <v>862</v>
          </cell>
        </row>
        <row r="17">
          <cell r="A17">
            <v>984</v>
          </cell>
        </row>
        <row r="18">
          <cell r="A18">
            <v>543</v>
          </cell>
        </row>
        <row r="19">
          <cell r="A19">
            <v>565</v>
          </cell>
        </row>
        <row r="20">
          <cell r="A20">
            <v>629</v>
          </cell>
        </row>
        <row r="21">
          <cell r="A21">
            <v>2608</v>
          </cell>
        </row>
        <row r="22">
          <cell r="A22">
            <v>1203</v>
          </cell>
        </row>
        <row r="23">
          <cell r="A23">
            <v>321</v>
          </cell>
        </row>
        <row r="24">
          <cell r="A24">
            <v>523</v>
          </cell>
        </row>
        <row r="25">
          <cell r="A25">
            <v>1538</v>
          </cell>
        </row>
        <row r="26">
          <cell r="A26">
            <v>347</v>
          </cell>
        </row>
        <row r="27">
          <cell r="A27">
            <v>604</v>
          </cell>
        </row>
        <row r="28">
          <cell r="A28">
            <v>313</v>
          </cell>
        </row>
        <row r="29">
          <cell r="A29">
            <v>360</v>
          </cell>
        </row>
        <row r="30">
          <cell r="A30">
            <v>1197</v>
          </cell>
        </row>
        <row r="31">
          <cell r="A31">
            <v>481</v>
          </cell>
        </row>
      </sheetData>
      <sheetData sheetId="3">
        <row r="2">
          <cell r="A2">
            <v>133</v>
          </cell>
        </row>
        <row r="3">
          <cell r="A3">
            <v>491</v>
          </cell>
        </row>
        <row r="4">
          <cell r="A4">
            <v>244</v>
          </cell>
        </row>
        <row r="5">
          <cell r="A5">
            <v>174</v>
          </cell>
        </row>
        <row r="6">
          <cell r="A6">
            <v>108</v>
          </cell>
        </row>
        <row r="7">
          <cell r="A7">
            <v>166</v>
          </cell>
        </row>
        <row r="8">
          <cell r="A8">
            <v>400</v>
          </cell>
        </row>
        <row r="9">
          <cell r="A9">
            <v>91</v>
          </cell>
        </row>
        <row r="10">
          <cell r="A10">
            <v>162</v>
          </cell>
        </row>
        <row r="11">
          <cell r="A11">
            <v>387</v>
          </cell>
        </row>
        <row r="12">
          <cell r="A12">
            <v>317</v>
          </cell>
        </row>
        <row r="13">
          <cell r="A13">
            <v>250</v>
          </cell>
        </row>
        <row r="14">
          <cell r="A14">
            <v>153</v>
          </cell>
        </row>
        <row r="15">
          <cell r="A15">
            <v>542</v>
          </cell>
        </row>
        <row r="16">
          <cell r="A16">
            <v>238</v>
          </cell>
        </row>
        <row r="17">
          <cell r="A17">
            <v>256</v>
          </cell>
        </row>
        <row r="18">
          <cell r="A18">
            <v>141</v>
          </cell>
        </row>
        <row r="19">
          <cell r="A19">
            <v>137</v>
          </cell>
        </row>
        <row r="20">
          <cell r="A20">
            <v>193</v>
          </cell>
        </row>
        <row r="21">
          <cell r="A21">
            <v>441</v>
          </cell>
        </row>
        <row r="22">
          <cell r="A22">
            <v>297</v>
          </cell>
        </row>
        <row r="23">
          <cell r="A23">
            <v>80</v>
          </cell>
        </row>
        <row r="24">
          <cell r="A24">
            <v>141</v>
          </cell>
        </row>
        <row r="25">
          <cell r="A25">
            <v>335</v>
          </cell>
        </row>
        <row r="26">
          <cell r="A26">
            <v>108</v>
          </cell>
        </row>
        <row r="27">
          <cell r="A27">
            <v>211</v>
          </cell>
        </row>
        <row r="28">
          <cell r="A28">
            <v>102</v>
          </cell>
        </row>
        <row r="29">
          <cell r="A29">
            <v>106</v>
          </cell>
        </row>
        <row r="30">
          <cell r="A30">
            <v>362</v>
          </cell>
        </row>
        <row r="31">
          <cell r="A31">
            <v>153</v>
          </cell>
        </row>
      </sheetData>
      <sheetData sheetId="4">
        <row r="2">
          <cell r="A2">
            <v>1520</v>
          </cell>
        </row>
        <row r="3">
          <cell r="A3">
            <v>7142</v>
          </cell>
        </row>
        <row r="4">
          <cell r="A4">
            <v>2920</v>
          </cell>
        </row>
        <row r="5">
          <cell r="A5">
            <v>1804</v>
          </cell>
        </row>
        <row r="6">
          <cell r="A6">
            <v>1303</v>
          </cell>
        </row>
        <row r="7">
          <cell r="A7">
            <v>2087</v>
          </cell>
        </row>
        <row r="8">
          <cell r="A8">
            <v>3877</v>
          </cell>
        </row>
        <row r="9">
          <cell r="A9">
            <v>1810</v>
          </cell>
        </row>
        <row r="10">
          <cell r="A10">
            <v>1966</v>
          </cell>
        </row>
        <row r="11">
          <cell r="A11">
            <v>4160</v>
          </cell>
        </row>
        <row r="12">
          <cell r="A12">
            <v>2814</v>
          </cell>
        </row>
        <row r="13">
          <cell r="A13">
            <v>3391</v>
          </cell>
        </row>
        <row r="14">
          <cell r="A14">
            <v>2191</v>
          </cell>
        </row>
        <row r="15">
          <cell r="A15">
            <v>7575</v>
          </cell>
        </row>
        <row r="16">
          <cell r="A16">
            <v>2340</v>
          </cell>
        </row>
        <row r="17">
          <cell r="A17">
            <v>3091</v>
          </cell>
        </row>
        <row r="18">
          <cell r="A18">
            <v>1951</v>
          </cell>
        </row>
        <row r="19">
          <cell r="A19">
            <v>1952</v>
          </cell>
        </row>
        <row r="20">
          <cell r="A20">
            <v>2581</v>
          </cell>
        </row>
        <row r="21">
          <cell r="A21">
            <v>4485</v>
          </cell>
        </row>
        <row r="22">
          <cell r="A22">
            <v>2965</v>
          </cell>
        </row>
        <row r="23">
          <cell r="A23">
            <v>831</v>
          </cell>
        </row>
        <row r="24">
          <cell r="A24">
            <v>1327</v>
          </cell>
        </row>
        <row r="25">
          <cell r="A25">
            <v>3619</v>
          </cell>
        </row>
        <row r="26">
          <cell r="A26">
            <v>1211</v>
          </cell>
        </row>
        <row r="27">
          <cell r="A27">
            <v>2357</v>
          </cell>
        </row>
        <row r="28">
          <cell r="A28">
            <v>831</v>
          </cell>
        </row>
        <row r="29">
          <cell r="A29">
            <v>859</v>
          </cell>
        </row>
        <row r="30">
          <cell r="A30">
            <v>4415</v>
          </cell>
        </row>
        <row r="31">
          <cell r="A31">
            <v>1913</v>
          </cell>
        </row>
      </sheetData>
      <sheetData sheetId="5">
        <row r="2">
          <cell r="A2">
            <v>3500</v>
          </cell>
        </row>
        <row r="3">
          <cell r="A3">
            <v>8697</v>
          </cell>
        </row>
        <row r="4">
          <cell r="A4">
            <v>5995</v>
          </cell>
        </row>
        <row r="5">
          <cell r="A5">
            <v>4485</v>
          </cell>
        </row>
        <row r="6">
          <cell r="A6">
            <v>3161</v>
          </cell>
        </row>
        <row r="7">
          <cell r="A7">
            <v>4646</v>
          </cell>
        </row>
        <row r="8">
          <cell r="A8">
            <v>6981</v>
          </cell>
        </row>
        <row r="9">
          <cell r="A9">
            <v>2756</v>
          </cell>
        </row>
        <row r="10">
          <cell r="A10">
            <v>3924</v>
          </cell>
        </row>
        <row r="11">
          <cell r="A11">
            <v>7686</v>
          </cell>
        </row>
        <row r="12">
          <cell r="A12">
            <v>4836</v>
          </cell>
        </row>
        <row r="13">
          <cell r="A13">
            <v>9129</v>
          </cell>
        </row>
        <row r="14">
          <cell r="A14">
            <v>5729</v>
          </cell>
        </row>
        <row r="15">
          <cell r="A15">
            <v>9282</v>
          </cell>
        </row>
        <row r="16">
          <cell r="A16">
            <v>7195</v>
          </cell>
        </row>
        <row r="17">
          <cell r="A17">
            <v>8053</v>
          </cell>
        </row>
        <row r="18">
          <cell r="A18">
            <v>5577</v>
          </cell>
        </row>
        <row r="19">
          <cell r="A19">
            <v>5189</v>
          </cell>
        </row>
        <row r="20">
          <cell r="A20">
            <v>6977</v>
          </cell>
        </row>
        <row r="21">
          <cell r="A21">
            <v>9203</v>
          </cell>
        </row>
        <row r="22">
          <cell r="A22">
            <v>7431</v>
          </cell>
        </row>
        <row r="23">
          <cell r="A23">
            <v>3160</v>
          </cell>
        </row>
        <row r="24">
          <cell r="A24">
            <v>4842</v>
          </cell>
        </row>
        <row r="25">
          <cell r="A25">
            <v>8193</v>
          </cell>
        </row>
        <row r="26">
          <cell r="A26">
            <v>4623</v>
          </cell>
        </row>
        <row r="27">
          <cell r="A27">
            <v>6873</v>
          </cell>
        </row>
        <row r="28">
          <cell r="A28">
            <v>4418</v>
          </cell>
        </row>
        <row r="29">
          <cell r="A29">
            <v>4087</v>
          </cell>
        </row>
        <row r="30">
          <cell r="A30">
            <v>11195</v>
          </cell>
        </row>
        <row r="31">
          <cell r="A31">
            <v>6286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opLeftCell="A18" zoomScale="104" workbookViewId="0">
      <selection activeCell="G25" sqref="G25:L31"/>
    </sheetView>
  </sheetViews>
  <sheetFormatPr defaultRowHeight="14.4"/>
  <cols>
    <col min="1" max="1" width="19.6640625" customWidth="1"/>
    <col min="2" max="2" width="10" customWidth="1"/>
    <col min="3" max="3" width="19.44140625" customWidth="1"/>
    <col min="4" max="4" width="12.33203125" customWidth="1"/>
    <col min="5" max="5" width="15.109375" customWidth="1"/>
    <col min="7" max="7" width="16.88671875" customWidth="1"/>
    <col min="8" max="8" width="13.44140625" bestFit="1" customWidth="1"/>
    <col min="9" max="9" width="24.21875" customWidth="1"/>
    <col min="10" max="10" width="14" customWidth="1"/>
    <col min="11" max="11" width="31" customWidth="1"/>
    <col min="12" max="12" width="12.6640625" customWidth="1"/>
    <col min="13" max="13" width="32.5546875" customWidth="1"/>
    <col min="15" max="15" width="18.77734375" customWidth="1"/>
  </cols>
  <sheetData>
    <row r="1" spans="1:12" ht="30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1" t="s">
        <v>58</v>
      </c>
      <c r="H1">
        <f>LOG(30,2)+1</f>
        <v>5.9068905956085187</v>
      </c>
      <c r="I1" s="11" t="s">
        <v>128</v>
      </c>
    </row>
    <row r="2" spans="1:12" ht="18.600000000000001" customHeight="1" thickBot="1">
      <c r="A2" s="5" t="s">
        <v>6</v>
      </c>
      <c r="B2" s="6">
        <v>4</v>
      </c>
      <c r="C2" s="6">
        <v>504</v>
      </c>
      <c r="D2" s="6">
        <v>133</v>
      </c>
      <c r="E2" s="6">
        <v>1520</v>
      </c>
      <c r="F2" s="7">
        <v>3500</v>
      </c>
      <c r="G2" t="s">
        <v>53</v>
      </c>
      <c r="H2" s="10">
        <v>6</v>
      </c>
      <c r="I2" t="s">
        <v>129</v>
      </c>
    </row>
    <row r="3" spans="1:12" ht="15" thickBot="1">
      <c r="A3" s="5" t="s">
        <v>7</v>
      </c>
      <c r="B3" s="6">
        <v>37</v>
      </c>
      <c r="C3" s="6">
        <v>4383</v>
      </c>
      <c r="D3" s="6">
        <v>491</v>
      </c>
      <c r="E3" s="6">
        <v>7142</v>
      </c>
      <c r="F3" s="7">
        <v>8697</v>
      </c>
      <c r="G3" s="47" t="s">
        <v>112</v>
      </c>
      <c r="H3" s="48"/>
      <c r="I3" s="48"/>
      <c r="J3" s="48"/>
      <c r="K3" s="48"/>
      <c r="L3" s="48"/>
    </row>
    <row r="4" spans="1:12" ht="18" customHeight="1" thickBot="1">
      <c r="A4" s="5" t="s">
        <v>8</v>
      </c>
      <c r="B4" s="6">
        <v>15</v>
      </c>
      <c r="C4" s="6">
        <v>948</v>
      </c>
      <c r="D4" s="6">
        <v>244</v>
      </c>
      <c r="E4" s="6">
        <v>2920</v>
      </c>
      <c r="F4" s="7">
        <v>5995</v>
      </c>
      <c r="G4" s="32">
        <v>4</v>
      </c>
    </row>
    <row r="5" spans="1:12" ht="15" thickBot="1">
      <c r="A5" s="5" t="s">
        <v>9</v>
      </c>
      <c r="B5" s="6">
        <v>6</v>
      </c>
      <c r="C5" s="6">
        <v>630</v>
      </c>
      <c r="D5" s="6">
        <v>174</v>
      </c>
      <c r="E5" s="6">
        <v>1804</v>
      </c>
      <c r="F5" s="7">
        <v>4485</v>
      </c>
    </row>
    <row r="6" spans="1:12" ht="15" thickBot="1">
      <c r="A6" s="5" t="s">
        <v>10</v>
      </c>
      <c r="B6" s="6">
        <v>6</v>
      </c>
      <c r="C6" s="6">
        <v>456</v>
      </c>
      <c r="D6" s="6">
        <v>108</v>
      </c>
      <c r="E6" s="6">
        <v>1303</v>
      </c>
      <c r="F6" s="7">
        <v>3161</v>
      </c>
      <c r="G6" s="32">
        <v>5</v>
      </c>
    </row>
    <row r="7" spans="1:12" ht="15" thickBot="1">
      <c r="A7" s="5" t="s">
        <v>11</v>
      </c>
      <c r="B7" s="6">
        <v>11</v>
      </c>
      <c r="C7" s="6">
        <v>672</v>
      </c>
      <c r="D7" s="6">
        <v>166</v>
      </c>
      <c r="E7" s="6">
        <v>2087</v>
      </c>
      <c r="F7" s="7">
        <v>4646</v>
      </c>
    </row>
    <row r="8" spans="1:12" ht="17.399999999999999" customHeight="1" thickBot="1">
      <c r="A8" s="5" t="s">
        <v>12</v>
      </c>
      <c r="B8" s="6">
        <v>23</v>
      </c>
      <c r="C8" s="6">
        <v>2035</v>
      </c>
      <c r="D8" s="6">
        <v>400</v>
      </c>
      <c r="E8" s="6">
        <v>3877</v>
      </c>
      <c r="F8" s="7">
        <v>6981</v>
      </c>
      <c r="G8" s="32">
        <v>6</v>
      </c>
    </row>
    <row r="9" spans="1:12" ht="13.8" customHeight="1" thickBot="1">
      <c r="A9" s="5" t="s">
        <v>13</v>
      </c>
      <c r="B9" s="6">
        <v>4</v>
      </c>
      <c r="C9" s="6">
        <v>436</v>
      </c>
      <c r="D9" s="6">
        <v>91</v>
      </c>
      <c r="E9" s="6">
        <v>1810</v>
      </c>
      <c r="F9" s="7">
        <v>2756</v>
      </c>
    </row>
    <row r="10" spans="1:12" ht="15.6" customHeight="1" thickBot="1">
      <c r="A10" s="5" t="s">
        <v>14</v>
      </c>
      <c r="B10" s="6">
        <v>7</v>
      </c>
      <c r="C10" s="6">
        <v>620</v>
      </c>
      <c r="D10" s="6">
        <v>162</v>
      </c>
      <c r="E10" s="6">
        <v>1966</v>
      </c>
      <c r="F10" s="7">
        <v>3924</v>
      </c>
      <c r="G10" s="32">
        <v>7</v>
      </c>
    </row>
    <row r="11" spans="1:12" ht="15" thickBot="1">
      <c r="A11" s="5" t="s">
        <v>15</v>
      </c>
      <c r="B11" s="6">
        <v>16</v>
      </c>
      <c r="C11" s="6">
        <v>2984</v>
      </c>
      <c r="D11" s="6">
        <v>387</v>
      </c>
      <c r="E11" s="6">
        <v>4160</v>
      </c>
      <c r="F11" s="7">
        <v>7686</v>
      </c>
    </row>
    <row r="12" spans="1:12" ht="15" thickBot="1">
      <c r="A12" s="5" t="s">
        <v>16</v>
      </c>
      <c r="B12" s="6">
        <v>12</v>
      </c>
      <c r="C12" s="6">
        <v>1561</v>
      </c>
      <c r="D12" s="6">
        <v>317</v>
      </c>
      <c r="E12" s="6">
        <v>2814</v>
      </c>
      <c r="F12" s="7">
        <v>4836</v>
      </c>
      <c r="G12" s="32">
        <v>8</v>
      </c>
    </row>
    <row r="13" spans="1:12" ht="15" thickBot="1">
      <c r="A13" s="5" t="s">
        <v>17</v>
      </c>
      <c r="B13" s="6">
        <v>16</v>
      </c>
      <c r="C13" s="6">
        <v>1065</v>
      </c>
      <c r="D13" s="6">
        <v>250</v>
      </c>
      <c r="E13" s="6">
        <v>3391</v>
      </c>
      <c r="F13" s="7">
        <v>9129</v>
      </c>
    </row>
    <row r="14" spans="1:12" ht="17.399999999999999" customHeight="1" thickBot="1">
      <c r="A14" s="5" t="s">
        <v>18</v>
      </c>
      <c r="B14" s="6">
        <v>4</v>
      </c>
      <c r="C14" s="6">
        <v>674</v>
      </c>
      <c r="D14" s="6">
        <v>153</v>
      </c>
      <c r="E14" s="6">
        <v>2191</v>
      </c>
      <c r="F14" s="7">
        <v>5729</v>
      </c>
    </row>
    <row r="15" spans="1:12" ht="15" thickBot="1">
      <c r="A15" s="5" t="s">
        <v>19</v>
      </c>
      <c r="B15" s="6">
        <v>29</v>
      </c>
      <c r="C15" s="6">
        <v>5294</v>
      </c>
      <c r="D15" s="6">
        <v>542</v>
      </c>
      <c r="E15" s="6">
        <v>7575</v>
      </c>
      <c r="F15" s="7">
        <v>9282</v>
      </c>
    </row>
    <row r="16" spans="1:12" ht="15" thickBot="1">
      <c r="A16" s="5" t="s">
        <v>20</v>
      </c>
      <c r="B16" s="6">
        <v>7</v>
      </c>
      <c r="C16" s="6">
        <v>862</v>
      </c>
      <c r="D16" s="6">
        <v>238</v>
      </c>
      <c r="E16" s="6">
        <v>2340</v>
      </c>
      <c r="F16" s="7">
        <v>7195</v>
      </c>
    </row>
    <row r="17" spans="1:12" ht="15" customHeight="1" thickBot="1">
      <c r="A17" s="5" t="s">
        <v>21</v>
      </c>
      <c r="B17" s="6">
        <v>14</v>
      </c>
      <c r="C17" s="6">
        <v>984</v>
      </c>
      <c r="D17" s="6">
        <v>256</v>
      </c>
      <c r="E17" s="6">
        <v>3091</v>
      </c>
      <c r="F17" s="7">
        <v>8053</v>
      </c>
    </row>
    <row r="18" spans="1:12" ht="15" thickBot="1">
      <c r="A18" s="5" t="s">
        <v>22</v>
      </c>
      <c r="B18" s="6">
        <v>5</v>
      </c>
      <c r="C18" s="6">
        <v>543</v>
      </c>
      <c r="D18" s="6">
        <v>141</v>
      </c>
      <c r="E18" s="6">
        <v>1951</v>
      </c>
      <c r="F18" s="7">
        <v>5577</v>
      </c>
      <c r="G18" s="42" t="s">
        <v>90</v>
      </c>
      <c r="H18" s="43"/>
      <c r="I18" s="43"/>
      <c r="J18" s="43"/>
      <c r="K18" s="43"/>
      <c r="L18" s="43"/>
    </row>
    <row r="19" spans="1:12" ht="15" thickBot="1">
      <c r="A19" s="5" t="s">
        <v>23</v>
      </c>
      <c r="B19" s="6">
        <v>5</v>
      </c>
      <c r="C19" s="6">
        <v>565</v>
      </c>
      <c r="D19" s="6">
        <v>137</v>
      </c>
      <c r="E19" s="6">
        <v>1952</v>
      </c>
      <c r="F19" s="7">
        <v>5189</v>
      </c>
      <c r="G19" s="9"/>
      <c r="H19" s="9" t="s">
        <v>1</v>
      </c>
      <c r="I19" s="9" t="s">
        <v>2</v>
      </c>
      <c r="J19" s="9" t="s">
        <v>3</v>
      </c>
      <c r="K19" s="9" t="s">
        <v>91</v>
      </c>
      <c r="L19" s="9" t="s">
        <v>92</v>
      </c>
    </row>
    <row r="20" spans="1:12" ht="15" thickBot="1">
      <c r="A20" s="5" t="s">
        <v>24</v>
      </c>
      <c r="B20" s="6">
        <v>9</v>
      </c>
      <c r="C20" s="6">
        <v>629</v>
      </c>
      <c r="D20" s="6">
        <v>193</v>
      </c>
      <c r="E20" s="6">
        <v>2581</v>
      </c>
      <c r="F20" s="7">
        <v>6977</v>
      </c>
      <c r="G20" t="s">
        <v>1</v>
      </c>
      <c r="H20">
        <f>VARP('Main sheet'!$B$2:$B$31)</f>
        <v>69.662222222222226</v>
      </c>
    </row>
    <row r="21" spans="1:12" ht="13.2" customHeight="1" thickBot="1">
      <c r="A21" s="5" t="s">
        <v>25</v>
      </c>
      <c r="B21" s="6">
        <v>20</v>
      </c>
      <c r="C21" s="6">
        <v>2608</v>
      </c>
      <c r="D21" s="6">
        <v>441</v>
      </c>
      <c r="E21" s="6">
        <v>4485</v>
      </c>
      <c r="F21" s="7">
        <v>9203</v>
      </c>
      <c r="G21" t="s">
        <v>2</v>
      </c>
      <c r="H21">
        <v>8451.7333333333336</v>
      </c>
      <c r="I21">
        <f>VARP('Main sheet'!$C$2:$C$31)</f>
        <v>1384993.6666666667</v>
      </c>
    </row>
    <row r="22" spans="1:12" ht="15" thickBot="1">
      <c r="A22" s="5" t="s">
        <v>26</v>
      </c>
      <c r="B22" s="6">
        <v>10</v>
      </c>
      <c r="C22" s="6">
        <v>1203</v>
      </c>
      <c r="D22" s="6">
        <v>297</v>
      </c>
      <c r="E22" s="6">
        <v>2965</v>
      </c>
      <c r="F22" s="7">
        <v>7431</v>
      </c>
      <c r="G22" t="s">
        <v>3</v>
      </c>
      <c r="H22">
        <v>952.03111111111116</v>
      </c>
      <c r="I22">
        <v>133637.53333333333</v>
      </c>
      <c r="J22">
        <f>VARP('Main sheet'!$D$2:$D$31)</f>
        <v>15601.965555555556</v>
      </c>
    </row>
    <row r="23" spans="1:12" ht="15" thickBot="1">
      <c r="A23" s="5" t="s">
        <v>27</v>
      </c>
      <c r="B23" s="6">
        <v>4</v>
      </c>
      <c r="C23" s="6">
        <v>321</v>
      </c>
      <c r="D23" s="6">
        <v>80</v>
      </c>
      <c r="E23" s="6">
        <v>831</v>
      </c>
      <c r="F23" s="7">
        <v>3160</v>
      </c>
      <c r="G23" t="s">
        <v>4</v>
      </c>
      <c r="H23">
        <v>12539.606666666663</v>
      </c>
      <c r="I23">
        <v>1778686.4333333333</v>
      </c>
      <c r="J23">
        <v>190248.02</v>
      </c>
      <c r="K23">
        <f>VARP('Main sheet'!$E$2:$E$31)</f>
        <v>2577893.84</v>
      </c>
    </row>
    <row r="24" spans="1:12" ht="16.2" customHeight="1" thickBot="1">
      <c r="A24" s="5" t="s">
        <v>28</v>
      </c>
      <c r="B24" s="6">
        <v>7</v>
      </c>
      <c r="C24" s="6">
        <v>523</v>
      </c>
      <c r="D24" s="6">
        <v>141</v>
      </c>
      <c r="E24" s="6">
        <v>1327</v>
      </c>
      <c r="F24" s="7">
        <v>4842</v>
      </c>
      <c r="G24" s="8" t="s">
        <v>5</v>
      </c>
      <c r="H24" s="8">
        <v>13455.475555555553</v>
      </c>
      <c r="I24" s="8">
        <v>1523977.7666666661</v>
      </c>
      <c r="J24" s="8">
        <v>213901.55444444445</v>
      </c>
      <c r="K24" s="8">
        <v>2678023.9866666663</v>
      </c>
      <c r="L24" s="8">
        <f>VARP('Main sheet'!$F$2:$F$31)</f>
        <v>4520847.9655555552</v>
      </c>
    </row>
    <row r="25" spans="1:12" ht="15" thickBot="1">
      <c r="A25" s="5" t="s">
        <v>29</v>
      </c>
      <c r="B25" s="6">
        <v>17</v>
      </c>
      <c r="C25" s="6">
        <v>1538</v>
      </c>
      <c r="D25" s="6">
        <v>335</v>
      </c>
      <c r="E25" s="6">
        <v>3619</v>
      </c>
      <c r="F25" s="7">
        <v>8193</v>
      </c>
      <c r="G25" s="44" t="s">
        <v>93</v>
      </c>
      <c r="H25" s="45"/>
      <c r="I25" s="45"/>
      <c r="J25" s="45"/>
      <c r="K25" s="45"/>
      <c r="L25" s="45"/>
    </row>
    <row r="26" spans="1:12" ht="19.2" customHeight="1" thickBot="1">
      <c r="A26" s="5" t="s">
        <v>30</v>
      </c>
      <c r="B26" s="6">
        <v>6</v>
      </c>
      <c r="C26" s="6">
        <v>347</v>
      </c>
      <c r="D26" s="6">
        <v>108</v>
      </c>
      <c r="E26" s="6">
        <v>1211</v>
      </c>
      <c r="F26" s="7">
        <v>4623</v>
      </c>
      <c r="G26" s="9"/>
      <c r="H26" s="9" t="s">
        <v>1</v>
      </c>
      <c r="I26" s="9" t="s">
        <v>2</v>
      </c>
      <c r="J26" s="9" t="s">
        <v>3</v>
      </c>
      <c r="K26" s="9" t="s">
        <v>91</v>
      </c>
      <c r="L26" s="9" t="s">
        <v>92</v>
      </c>
    </row>
    <row r="27" spans="1:12" ht="18" customHeight="1" thickBot="1">
      <c r="A27" s="5" t="s">
        <v>31</v>
      </c>
      <c r="B27" s="6">
        <v>4</v>
      </c>
      <c r="C27" s="6">
        <v>604</v>
      </c>
      <c r="D27" s="6">
        <v>211</v>
      </c>
      <c r="E27" s="6">
        <v>2357</v>
      </c>
      <c r="F27" s="7">
        <v>6873</v>
      </c>
      <c r="G27" t="s">
        <v>1</v>
      </c>
      <c r="H27">
        <f>_xlfn.COVARIANCE.S(B2:B31,B2:B31)</f>
        <v>72.064367816091988</v>
      </c>
    </row>
    <row r="28" spans="1:12" ht="13.2" customHeight="1" thickBot="1">
      <c r="A28" s="5" t="s">
        <v>32</v>
      </c>
      <c r="B28" s="6">
        <v>4</v>
      </c>
      <c r="C28" s="6">
        <v>313</v>
      </c>
      <c r="D28" s="6">
        <v>102</v>
      </c>
      <c r="E28" s="6">
        <v>831</v>
      </c>
      <c r="F28" s="7">
        <v>4418</v>
      </c>
      <c r="G28" t="s">
        <v>2</v>
      </c>
      <c r="H28">
        <f>_xlfn.COVARIANCE.S(B2:B31,C2:C31)</f>
        <v>8743.1724137931033</v>
      </c>
      <c r="I28">
        <f>_xlfn.COVARIANCE.S(C2:C31,C2:C31)</f>
        <v>1432752.0689655172</v>
      </c>
    </row>
    <row r="29" spans="1:12" ht="16.8" customHeight="1" thickBot="1">
      <c r="A29" s="5" t="s">
        <v>33</v>
      </c>
      <c r="B29" s="6">
        <v>4</v>
      </c>
      <c r="C29" s="6">
        <v>360</v>
      </c>
      <c r="D29" s="6">
        <v>106</v>
      </c>
      <c r="E29" s="6">
        <v>859</v>
      </c>
      <c r="F29" s="7">
        <v>4087</v>
      </c>
      <c r="G29" t="s">
        <v>3</v>
      </c>
      <c r="H29">
        <f>_xlfn.COVARIANCE.S(B2:B31,D2:D31)</f>
        <v>984.85977011494253</v>
      </c>
      <c r="I29">
        <f>_xlfn.COVARIANCE.S(C2:C31,D2:D31)</f>
        <v>138245.72413793104</v>
      </c>
      <c r="J29">
        <f>_xlfn.COVARIANCE.S(D2:D31,D2:D31)</f>
        <v>16139.96436781609</v>
      </c>
    </row>
    <row r="30" spans="1:12" ht="19.2" customHeight="1" thickBot="1">
      <c r="A30" s="5" t="s">
        <v>34</v>
      </c>
      <c r="B30" s="6">
        <v>25</v>
      </c>
      <c r="C30" s="6">
        <v>1197</v>
      </c>
      <c r="D30" s="6">
        <v>362</v>
      </c>
      <c r="E30" s="6">
        <v>4415</v>
      </c>
      <c r="F30" s="7">
        <v>11195</v>
      </c>
      <c r="G30" t="s">
        <v>91</v>
      </c>
      <c r="H30">
        <f>_xlfn.COVARIANCE.S(B2:B31,E2:E31)</f>
        <v>12972.00689655172</v>
      </c>
      <c r="I30">
        <f>_xlfn.COVARIANCE.S(C2:C31,E2:E31)</f>
        <v>1840020.448275862</v>
      </c>
      <c r="J30">
        <f>_xlfn.COVARIANCE.S(D2:D31,E2:E31)</f>
        <v>196808.29655172414</v>
      </c>
      <c r="K30">
        <f>_xlfn.COVARIANCE.S(E2:E31,E2:E31)</f>
        <v>2666786.7310344819</v>
      </c>
    </row>
    <row r="31" spans="1:12" ht="18" customHeight="1" thickBot="1">
      <c r="A31" s="5" t="s">
        <v>35</v>
      </c>
      <c r="B31" s="6">
        <v>7</v>
      </c>
      <c r="C31" s="6">
        <v>481</v>
      </c>
      <c r="D31" s="6">
        <v>153</v>
      </c>
      <c r="E31" s="6">
        <v>1913</v>
      </c>
      <c r="F31" s="7">
        <v>6286</v>
      </c>
      <c r="G31" s="13" t="s">
        <v>92</v>
      </c>
      <c r="H31" s="14">
        <f>_xlfn.COVARIANCE.S(F2:F31,B2:B31)</f>
        <v>13919.457471264366</v>
      </c>
      <c r="I31" s="14">
        <f>_xlfn.COVARIANCE.S(C2:C31,F2:F31)</f>
        <v>1576528.7241379304</v>
      </c>
      <c r="J31" s="14">
        <f>_xlfn.COVARIANCE.S(D2:D31,F2:F31)</f>
        <v>221277.47011494255</v>
      </c>
      <c r="K31" s="14">
        <f>_xlfn.COVARIANCE.S(E2:E31,F2:F31)</f>
        <v>2770369.6413793103</v>
      </c>
      <c r="L31" s="14">
        <f>_xlfn.COVARIANCE.S(F2:F31,F2:F31)</f>
        <v>4676739.2747126445</v>
      </c>
    </row>
    <row r="32" spans="1:12" ht="28.8" customHeight="1" thickBot="1">
      <c r="G32" s="46" t="s">
        <v>133</v>
      </c>
      <c r="H32" s="46"/>
      <c r="I32" s="46"/>
      <c r="J32" s="46"/>
      <c r="K32" s="46"/>
      <c r="L32" s="46"/>
    </row>
    <row r="33" spans="7:12">
      <c r="G33" s="9"/>
      <c r="H33" s="9" t="s">
        <v>1</v>
      </c>
      <c r="I33" s="9" t="s">
        <v>2</v>
      </c>
      <c r="J33" s="9" t="s">
        <v>3</v>
      </c>
      <c r="K33" s="9" t="s">
        <v>4</v>
      </c>
      <c r="L33" s="9" t="s">
        <v>5</v>
      </c>
    </row>
    <row r="34" spans="7:12">
      <c r="G34" t="s">
        <v>1</v>
      </c>
      <c r="H34">
        <v>1</v>
      </c>
    </row>
    <row r="35" spans="7:12" ht="16.8" customHeight="1">
      <c r="G35" t="s">
        <v>2</v>
      </c>
      <c r="H35">
        <v>0.86044522726299966</v>
      </c>
      <c r="I35">
        <v>1</v>
      </c>
    </row>
    <row r="36" spans="7:12">
      <c r="G36" t="s">
        <v>3</v>
      </c>
      <c r="H36">
        <v>0.91319352031415779</v>
      </c>
      <c r="I36">
        <v>0.9091067864446245</v>
      </c>
      <c r="J36">
        <v>1</v>
      </c>
    </row>
    <row r="37" spans="7:12">
      <c r="G37" t="s">
        <v>4</v>
      </c>
      <c r="H37">
        <v>0.93573470592896035</v>
      </c>
      <c r="I37">
        <v>0.94133235102546953</v>
      </c>
      <c r="J37">
        <v>0.94863244401378044</v>
      </c>
      <c r="K37">
        <v>1</v>
      </c>
    </row>
    <row r="38" spans="7:12" ht="15" thickBot="1">
      <c r="G38" s="8" t="s">
        <v>5</v>
      </c>
      <c r="H38" s="8">
        <v>0.75821162426356759</v>
      </c>
      <c r="I38" s="8">
        <v>0.60903855493516257</v>
      </c>
      <c r="J38" s="8">
        <v>0.80540502001900305</v>
      </c>
      <c r="K38" s="8">
        <v>0.78446215593994051</v>
      </c>
      <c r="L38" s="8">
        <v>1</v>
      </c>
    </row>
    <row r="39" spans="7:12" ht="14.4" customHeight="1"/>
    <row r="40" spans="7:12" ht="19.2" customHeight="1"/>
  </sheetData>
  <dataConsolidate/>
  <mergeCells count="4">
    <mergeCell ref="G18:L18"/>
    <mergeCell ref="G25:L25"/>
    <mergeCell ref="G32:L32"/>
    <mergeCell ref="G3:L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topLeftCell="A8" zoomScale="105" zoomScaleNormal="85" workbookViewId="0">
      <selection sqref="A1:A31"/>
    </sheetView>
  </sheetViews>
  <sheetFormatPr defaultRowHeight="14.4"/>
  <cols>
    <col min="2" max="2" width="18.44140625" customWidth="1"/>
    <col min="4" max="4" width="10.33203125" customWidth="1"/>
    <col min="7" max="7" width="17.6640625" customWidth="1"/>
    <col min="8" max="8" width="12.88671875" customWidth="1"/>
    <col min="9" max="9" width="10.6640625" bestFit="1" customWidth="1"/>
    <col min="12" max="12" width="12.44140625" customWidth="1"/>
    <col min="13" max="13" width="16.21875" customWidth="1"/>
    <col min="18" max="19" width="10.33203125" customWidth="1"/>
  </cols>
  <sheetData>
    <row r="1" spans="1:13" ht="27.6" thickBot="1">
      <c r="A1" s="2" t="s">
        <v>1</v>
      </c>
      <c r="B1" s="9" t="s">
        <v>1</v>
      </c>
      <c r="C1" s="9"/>
      <c r="D1" t="s">
        <v>130</v>
      </c>
      <c r="E1" t="s">
        <v>54</v>
      </c>
      <c r="G1" s="31" t="s">
        <v>101</v>
      </c>
      <c r="H1" s="28">
        <f>QUARTILE(A2:A31,1)</f>
        <v>5</v>
      </c>
    </row>
    <row r="2" spans="1:13" ht="15" thickBot="1">
      <c r="A2" s="6">
        <v>4</v>
      </c>
      <c r="D2">
        <v>9</v>
      </c>
      <c r="E2" t="s">
        <v>55</v>
      </c>
      <c r="G2" s="23" t="s">
        <v>102</v>
      </c>
      <c r="H2" s="27">
        <f>QUARTILE(A2:A31,3)</f>
        <v>15.75</v>
      </c>
      <c r="L2" s="34" t="s">
        <v>94</v>
      </c>
      <c r="M2" s="34"/>
    </row>
    <row r="3" spans="1:13" ht="15" thickBot="1">
      <c r="A3" s="6">
        <v>37</v>
      </c>
      <c r="B3" t="s">
        <v>36</v>
      </c>
      <c r="C3">
        <v>11.266666666666667</v>
      </c>
      <c r="D3">
        <v>15</v>
      </c>
      <c r="E3" t="s">
        <v>56</v>
      </c>
      <c r="G3" s="23" t="s">
        <v>103</v>
      </c>
      <c r="H3" s="27">
        <f>H2-H1</f>
        <v>10.75</v>
      </c>
      <c r="L3" s="49" t="s">
        <v>95</v>
      </c>
      <c r="M3" s="50"/>
    </row>
    <row r="4" spans="1:13" ht="15" thickBot="1">
      <c r="A4" s="6">
        <v>15</v>
      </c>
      <c r="B4" t="s">
        <v>37</v>
      </c>
      <c r="C4">
        <v>1.5498856712253752</v>
      </c>
      <c r="D4">
        <v>21</v>
      </c>
      <c r="E4" t="s">
        <v>57</v>
      </c>
      <c r="G4" s="23" t="s">
        <v>104</v>
      </c>
      <c r="H4" s="27">
        <f>H1-1.5*H3</f>
        <v>-11.125</v>
      </c>
      <c r="L4" s="33" t="s">
        <v>96</v>
      </c>
      <c r="M4" s="33">
        <f>AVERAGE(A2:A31)</f>
        <v>11.266666666666667</v>
      </c>
    </row>
    <row r="5" spans="1:13" ht="15" thickBot="1">
      <c r="A5" s="6">
        <v>6</v>
      </c>
      <c r="B5" t="s">
        <v>38</v>
      </c>
      <c r="C5">
        <v>7</v>
      </c>
      <c r="D5">
        <v>27</v>
      </c>
      <c r="E5" t="s">
        <v>59</v>
      </c>
      <c r="G5" s="30" t="s">
        <v>105</v>
      </c>
      <c r="H5" s="15">
        <f>H2+1.5*H3</f>
        <v>31.875</v>
      </c>
      <c r="L5" s="33" t="s">
        <v>97</v>
      </c>
      <c r="M5" s="33">
        <f>HARMEAN(A2:A31)</f>
        <v>7.2750395522399076</v>
      </c>
    </row>
    <row r="6" spans="1:13" ht="15" thickBot="1">
      <c r="A6" s="6">
        <v>6</v>
      </c>
      <c r="B6" t="s">
        <v>39</v>
      </c>
      <c r="C6">
        <v>4</v>
      </c>
      <c r="D6">
        <v>32</v>
      </c>
      <c r="E6" t="s">
        <v>60</v>
      </c>
      <c r="G6" s="16" t="s">
        <v>106</v>
      </c>
      <c r="H6" s="12" t="s">
        <v>7</v>
      </c>
      <c r="I6" s="12">
        <v>37</v>
      </c>
      <c r="L6" s="33" t="s">
        <v>98</v>
      </c>
      <c r="M6" s="33">
        <f>GEOMEAN(A2:A31)</f>
        <v>8.8812535346987005</v>
      </c>
    </row>
    <row r="7" spans="1:13" ht="15" thickBot="1">
      <c r="A7" s="6">
        <v>11</v>
      </c>
      <c r="B7" t="s">
        <v>40</v>
      </c>
      <c r="C7">
        <v>8.4890734368417355</v>
      </c>
      <c r="D7">
        <v>37</v>
      </c>
      <c r="E7" t="s">
        <v>61</v>
      </c>
      <c r="L7" s="33" t="s">
        <v>99</v>
      </c>
      <c r="M7" s="33">
        <f>SQRT(AVERAGE(A2:A31))</f>
        <v>3.3565855667130946</v>
      </c>
    </row>
    <row r="8" spans="1:13" ht="15" thickBot="1">
      <c r="A8" s="6">
        <v>23</v>
      </c>
      <c r="B8" t="s">
        <v>41</v>
      </c>
      <c r="C8">
        <v>72.064367816091959</v>
      </c>
    </row>
    <row r="9" spans="1:13" ht="15" thickBot="1">
      <c r="A9" s="6">
        <v>4</v>
      </c>
      <c r="B9" t="s">
        <v>42</v>
      </c>
      <c r="C9">
        <v>1.7787924522351797</v>
      </c>
    </row>
    <row r="10" spans="1:13" ht="15" thickBot="1">
      <c r="A10" s="6">
        <v>7</v>
      </c>
      <c r="B10" t="s">
        <v>43</v>
      </c>
      <c r="C10">
        <v>1.4507252157350712</v>
      </c>
    </row>
    <row r="11" spans="1:13" ht="15" thickBot="1">
      <c r="A11" s="6">
        <v>16</v>
      </c>
      <c r="B11" t="s">
        <v>44</v>
      </c>
      <c r="C11">
        <v>33</v>
      </c>
    </row>
    <row r="12" spans="1:13" ht="15" thickBot="1">
      <c r="A12" s="6">
        <v>12</v>
      </c>
      <c r="B12" t="s">
        <v>45</v>
      </c>
      <c r="C12">
        <v>4</v>
      </c>
    </row>
    <row r="13" spans="1:13" ht="15" thickBot="1">
      <c r="A13" s="6">
        <v>16</v>
      </c>
      <c r="B13" t="s">
        <v>46</v>
      </c>
      <c r="C13">
        <v>37</v>
      </c>
    </row>
    <row r="14" spans="1:13" ht="15" thickBot="1">
      <c r="A14" s="6">
        <v>4</v>
      </c>
      <c r="B14" t="s">
        <v>47</v>
      </c>
      <c r="C14">
        <v>338</v>
      </c>
    </row>
    <row r="15" spans="1:13" ht="15" thickBot="1">
      <c r="A15" s="6">
        <v>29</v>
      </c>
      <c r="B15" s="8" t="s">
        <v>48</v>
      </c>
      <c r="C15" s="8">
        <v>30</v>
      </c>
    </row>
    <row r="16" spans="1:13" ht="15" thickBot="1">
      <c r="A16" s="6">
        <v>7</v>
      </c>
    </row>
    <row r="17" spans="1:10" ht="15" thickBot="1">
      <c r="A17" s="6">
        <v>14</v>
      </c>
      <c r="B17" s="9" t="s">
        <v>49</v>
      </c>
      <c r="C17" s="9" t="s">
        <v>51</v>
      </c>
    </row>
    <row r="18" spans="1:10" ht="15" thickBot="1">
      <c r="A18" s="6">
        <v>5</v>
      </c>
      <c r="B18" t="s">
        <v>55</v>
      </c>
      <c r="C18">
        <v>16</v>
      </c>
    </row>
    <row r="19" spans="1:10" ht="15" thickBot="1">
      <c r="A19" s="6">
        <v>5</v>
      </c>
      <c r="B19" t="s">
        <v>56</v>
      </c>
      <c r="C19">
        <v>5</v>
      </c>
    </row>
    <row r="20" spans="1:10" ht="15" thickBot="1">
      <c r="A20" s="6">
        <v>9</v>
      </c>
      <c r="B20" t="s">
        <v>57</v>
      </c>
      <c r="C20">
        <v>4</v>
      </c>
    </row>
    <row r="21" spans="1:10" ht="15" thickBot="1">
      <c r="A21" s="6">
        <v>20</v>
      </c>
      <c r="B21" t="s">
        <v>59</v>
      </c>
      <c r="C21">
        <v>2</v>
      </c>
    </row>
    <row r="22" spans="1:10" ht="15" thickBot="1">
      <c r="A22" s="6">
        <v>10</v>
      </c>
      <c r="B22" t="s">
        <v>60</v>
      </c>
      <c r="C22">
        <v>1</v>
      </c>
    </row>
    <row r="23" spans="1:10" ht="15" thickBot="1">
      <c r="A23" s="6">
        <v>4</v>
      </c>
      <c r="B23" t="s">
        <v>61</v>
      </c>
      <c r="C23">
        <v>1</v>
      </c>
    </row>
    <row r="24" spans="1:10" ht="15" thickBot="1">
      <c r="A24" s="6">
        <v>7</v>
      </c>
      <c r="B24" s="8" t="s">
        <v>50</v>
      </c>
      <c r="C24" s="8">
        <v>0</v>
      </c>
    </row>
    <row r="25" spans="1:10" ht="15" thickBot="1">
      <c r="A25" s="6">
        <v>17</v>
      </c>
    </row>
    <row r="26" spans="1:10" ht="15" thickBot="1">
      <c r="A26" s="6">
        <v>6</v>
      </c>
      <c r="I26" t="s">
        <v>134</v>
      </c>
      <c r="J26">
        <f>C11/C15</f>
        <v>1.1000000000000001</v>
      </c>
    </row>
    <row r="27" spans="1:10" ht="15" thickBot="1">
      <c r="A27" s="6">
        <v>4</v>
      </c>
    </row>
    <row r="28" spans="1:10" ht="15" thickBot="1">
      <c r="A28" s="6">
        <v>4</v>
      </c>
    </row>
    <row r="29" spans="1:10" ht="15" thickBot="1">
      <c r="A29" s="6">
        <v>4</v>
      </c>
    </row>
    <row r="30" spans="1:10" ht="15" thickBot="1">
      <c r="A30" s="6">
        <v>25</v>
      </c>
    </row>
    <row r="31" spans="1:10" ht="15" thickBot="1">
      <c r="A31" s="6">
        <v>7</v>
      </c>
    </row>
  </sheetData>
  <sortState xmlns:xlrd2="http://schemas.microsoft.com/office/spreadsheetml/2017/richdata2" ref="B18:B23">
    <sortCondition ref="B18"/>
  </sortState>
  <mergeCells count="1">
    <mergeCell ref="L3:M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topLeftCell="A3" zoomScale="85" zoomScaleNormal="85" workbookViewId="0">
      <selection sqref="A1:A31"/>
    </sheetView>
  </sheetViews>
  <sheetFormatPr defaultRowHeight="14.4"/>
  <cols>
    <col min="1" max="1" width="15.77734375" customWidth="1"/>
    <col min="2" max="2" width="24.88671875" customWidth="1"/>
    <col min="8" max="8" width="14.6640625" customWidth="1"/>
  </cols>
  <sheetData>
    <row r="1" spans="1:6" ht="40.799999999999997" thickBot="1">
      <c r="A1" s="2" t="s">
        <v>2</v>
      </c>
      <c r="B1" s="9" t="s">
        <v>2</v>
      </c>
      <c r="C1" s="9"/>
      <c r="D1" t="s">
        <v>52</v>
      </c>
      <c r="E1" t="s">
        <v>62</v>
      </c>
    </row>
    <row r="2" spans="1:6" ht="15" thickBot="1">
      <c r="A2" s="6">
        <v>504</v>
      </c>
      <c r="D2">
        <v>436</v>
      </c>
      <c r="E2" t="s">
        <v>63</v>
      </c>
    </row>
    <row r="3" spans="1:6" ht="15" thickBot="1">
      <c r="A3" s="6">
        <v>4383</v>
      </c>
      <c r="B3" t="s">
        <v>36</v>
      </c>
      <c r="C3">
        <v>1178</v>
      </c>
      <c r="D3">
        <v>543</v>
      </c>
      <c r="E3" t="s">
        <v>64</v>
      </c>
    </row>
    <row r="4" spans="1:6" ht="15" thickBot="1">
      <c r="A4" s="6">
        <v>948</v>
      </c>
      <c r="B4" t="s">
        <v>37</v>
      </c>
      <c r="C4">
        <v>218.53695865654069</v>
      </c>
      <c r="D4">
        <v>630</v>
      </c>
      <c r="E4" t="s">
        <v>65</v>
      </c>
    </row>
    <row r="5" spans="1:6" ht="15" thickBot="1">
      <c r="A5" s="6">
        <v>630</v>
      </c>
      <c r="B5" t="s">
        <v>38</v>
      </c>
      <c r="C5">
        <v>651</v>
      </c>
      <c r="D5">
        <v>984</v>
      </c>
      <c r="E5" t="s">
        <v>66</v>
      </c>
    </row>
    <row r="6" spans="1:6" ht="15" thickBot="1">
      <c r="A6" s="6">
        <v>456</v>
      </c>
      <c r="B6" t="s">
        <v>39</v>
      </c>
      <c r="C6" t="s">
        <v>100</v>
      </c>
      <c r="D6">
        <v>1561</v>
      </c>
      <c r="E6" t="s">
        <v>67</v>
      </c>
    </row>
    <row r="7" spans="1:6" ht="15" thickBot="1">
      <c r="A7" s="6">
        <v>672</v>
      </c>
      <c r="B7" t="s">
        <v>40</v>
      </c>
      <c r="C7">
        <v>1196.9762190476122</v>
      </c>
      <c r="D7">
        <v>5294</v>
      </c>
      <c r="E7" t="s">
        <v>68</v>
      </c>
    </row>
    <row r="8" spans="1:6" ht="15" thickBot="1">
      <c r="A8" s="6">
        <v>2035</v>
      </c>
      <c r="B8" t="s">
        <v>41</v>
      </c>
      <c r="C8">
        <v>1432752.0689655172</v>
      </c>
    </row>
    <row r="9" spans="1:6" ht="15" thickBot="1">
      <c r="A9" s="6">
        <v>436</v>
      </c>
      <c r="B9" t="s">
        <v>42</v>
      </c>
      <c r="C9">
        <v>5.1760861584744582</v>
      </c>
      <c r="E9" t="s">
        <v>62</v>
      </c>
      <c r="F9" s="9" t="s">
        <v>51</v>
      </c>
    </row>
    <row r="10" spans="1:6" ht="15" thickBot="1">
      <c r="A10" s="6">
        <v>620</v>
      </c>
      <c r="B10" t="s">
        <v>43</v>
      </c>
      <c r="C10">
        <v>2.2965403871134482</v>
      </c>
      <c r="E10" t="s">
        <v>63</v>
      </c>
      <c r="F10">
        <v>5</v>
      </c>
    </row>
    <row r="11" spans="1:6" ht="15" thickBot="1">
      <c r="A11" s="6">
        <v>2984</v>
      </c>
      <c r="B11" t="s">
        <v>44</v>
      </c>
      <c r="C11">
        <v>4981</v>
      </c>
      <c r="E11" t="s">
        <v>64</v>
      </c>
      <c r="F11">
        <v>5</v>
      </c>
    </row>
    <row r="12" spans="1:6" ht="15" thickBot="1">
      <c r="A12" s="6">
        <v>1561</v>
      </c>
      <c r="B12" t="s">
        <v>45</v>
      </c>
      <c r="C12">
        <v>313</v>
      </c>
      <c r="E12" t="s">
        <v>65</v>
      </c>
      <c r="F12">
        <v>5</v>
      </c>
    </row>
    <row r="13" spans="1:6" ht="15" thickBot="1">
      <c r="A13" s="6">
        <v>1065</v>
      </c>
      <c r="B13" t="s">
        <v>46</v>
      </c>
      <c r="C13">
        <v>5294</v>
      </c>
      <c r="E13" t="s">
        <v>66</v>
      </c>
      <c r="F13">
        <v>5</v>
      </c>
    </row>
    <row r="14" spans="1:6" ht="15" thickBot="1">
      <c r="A14" s="6">
        <v>674</v>
      </c>
      <c r="B14" t="s">
        <v>47</v>
      </c>
      <c r="C14">
        <v>35340</v>
      </c>
      <c r="E14" t="s">
        <v>67</v>
      </c>
      <c r="F14">
        <v>5</v>
      </c>
    </row>
    <row r="15" spans="1:6" ht="15" thickBot="1">
      <c r="A15" s="6">
        <v>5294</v>
      </c>
      <c r="B15" s="8" t="s">
        <v>48</v>
      </c>
      <c r="C15" s="8">
        <v>30</v>
      </c>
      <c r="E15" t="s">
        <v>68</v>
      </c>
      <c r="F15">
        <v>5</v>
      </c>
    </row>
    <row r="16" spans="1:6" ht="15" thickBot="1">
      <c r="A16" s="6">
        <v>862</v>
      </c>
      <c r="E16" s="8" t="s">
        <v>50</v>
      </c>
      <c r="F16" s="8">
        <v>0</v>
      </c>
    </row>
    <row r="17" spans="1:12" ht="15" thickBot="1">
      <c r="A17" s="6">
        <v>984</v>
      </c>
    </row>
    <row r="18" spans="1:12" ht="15" thickBot="1">
      <c r="A18" s="6">
        <v>543</v>
      </c>
    </row>
    <row r="19" spans="1:12" ht="15" thickBot="1">
      <c r="A19" s="6">
        <v>565</v>
      </c>
    </row>
    <row r="20" spans="1:12" ht="15" thickBot="1">
      <c r="A20" s="6">
        <v>629</v>
      </c>
      <c r="G20" s="34" t="s">
        <v>94</v>
      </c>
      <c r="H20" s="34"/>
      <c r="J20" s="31" t="s">
        <v>101</v>
      </c>
      <c r="K20" s="28">
        <f>QUARTILE(A2:A31,1)</f>
        <v>508.75</v>
      </c>
    </row>
    <row r="21" spans="1:12" ht="15" thickBot="1">
      <c r="A21" s="6">
        <v>2608</v>
      </c>
      <c r="G21" s="49" t="s">
        <v>95</v>
      </c>
      <c r="H21" s="50"/>
      <c r="J21" s="23" t="s">
        <v>102</v>
      </c>
      <c r="K21" s="27">
        <f>QUARTILE(A2:A31,3)</f>
        <v>1201.5</v>
      </c>
    </row>
    <row r="22" spans="1:12" ht="15" thickBot="1">
      <c r="A22" s="6">
        <v>1203</v>
      </c>
      <c r="G22" s="33" t="s">
        <v>96</v>
      </c>
      <c r="H22" s="33">
        <f>AVERAGE(A2:A31)</f>
        <v>1178</v>
      </c>
      <c r="J22" s="23" t="s">
        <v>103</v>
      </c>
      <c r="K22" s="27">
        <f>K21-K20</f>
        <v>692.75</v>
      </c>
    </row>
    <row r="23" spans="1:12" ht="15" thickBot="1">
      <c r="A23" s="6">
        <v>321</v>
      </c>
      <c r="G23" s="33" t="s">
        <v>97</v>
      </c>
      <c r="H23" s="33">
        <f>HARMEAN(A2:A31)</f>
        <v>678.50062087268554</v>
      </c>
      <c r="J23" s="23" t="s">
        <v>104</v>
      </c>
      <c r="K23" s="27">
        <f>K20-1.5*K22</f>
        <v>-530.375</v>
      </c>
    </row>
    <row r="24" spans="1:12" ht="15" thickBot="1">
      <c r="A24" s="6">
        <v>523</v>
      </c>
      <c r="G24" s="33" t="s">
        <v>98</v>
      </c>
      <c r="H24" s="33">
        <f>GEOMEAN(A2:A31)</f>
        <v>847.95035576448117</v>
      </c>
      <c r="J24" s="23" t="s">
        <v>105</v>
      </c>
      <c r="K24" s="27">
        <f>K21+1.5*K22</f>
        <v>2240.625</v>
      </c>
    </row>
    <row r="25" spans="1:12" ht="15" thickBot="1">
      <c r="A25" s="6">
        <v>1538</v>
      </c>
      <c r="G25" s="33" t="s">
        <v>99</v>
      </c>
      <c r="H25" s="33">
        <f>SQRT(AVERAGE(A2:A31))</f>
        <v>34.322004603461025</v>
      </c>
      <c r="J25" s="31" t="s">
        <v>106</v>
      </c>
      <c r="K25" s="24" t="s">
        <v>7</v>
      </c>
      <c r="L25" s="28">
        <v>4383</v>
      </c>
    </row>
    <row r="26" spans="1:12" ht="15" thickBot="1">
      <c r="A26" s="6">
        <v>347</v>
      </c>
      <c r="J26" s="19"/>
      <c r="K26" t="s">
        <v>15</v>
      </c>
      <c r="L26" s="27">
        <v>2984</v>
      </c>
    </row>
    <row r="27" spans="1:12" ht="15" thickBot="1">
      <c r="A27" s="6">
        <v>604</v>
      </c>
      <c r="J27" s="19"/>
      <c r="K27" t="s">
        <v>19</v>
      </c>
      <c r="L27" s="27">
        <v>5294</v>
      </c>
    </row>
    <row r="28" spans="1:12" ht="15" thickBot="1">
      <c r="A28" s="6">
        <v>313</v>
      </c>
      <c r="J28" s="18"/>
      <c r="K28" s="8" t="s">
        <v>25</v>
      </c>
      <c r="L28" s="15">
        <v>2608</v>
      </c>
    </row>
    <row r="29" spans="1:12" ht="15" thickBot="1">
      <c r="A29" s="6">
        <v>360</v>
      </c>
    </row>
    <row r="30" spans="1:12" ht="15" thickBot="1">
      <c r="A30" s="6">
        <v>1197</v>
      </c>
      <c r="D30" t="s">
        <v>134</v>
      </c>
      <c r="E30">
        <v>1.1000000000000001</v>
      </c>
    </row>
    <row r="31" spans="1:12" ht="15" thickBot="1">
      <c r="A31" s="6">
        <v>481</v>
      </c>
    </row>
  </sheetData>
  <sortState xmlns:xlrd2="http://schemas.microsoft.com/office/spreadsheetml/2017/richdata2" ref="E10:E15">
    <sortCondition ref="E10"/>
  </sortState>
  <mergeCells count="1">
    <mergeCell ref="G21:H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tabSelected="1" topLeftCell="A2" zoomScale="85" zoomScaleNormal="85" workbookViewId="0">
      <selection activeCell="C10" sqref="C10"/>
    </sheetView>
  </sheetViews>
  <sheetFormatPr defaultRowHeight="14.4"/>
  <cols>
    <col min="2" max="2" width="17.5546875" customWidth="1"/>
    <col min="13" max="13" width="12.88671875" customWidth="1"/>
  </cols>
  <sheetData>
    <row r="1" spans="1:14" ht="27.6" thickBot="1">
      <c r="A1" s="2" t="s">
        <v>3</v>
      </c>
      <c r="B1" s="9" t="s">
        <v>3</v>
      </c>
      <c r="C1" s="9"/>
      <c r="D1" t="s">
        <v>52</v>
      </c>
      <c r="E1" t="s">
        <v>69</v>
      </c>
    </row>
    <row r="2" spans="1:14" ht="15" thickBot="1">
      <c r="A2" s="6">
        <v>133</v>
      </c>
      <c r="D2">
        <v>108</v>
      </c>
      <c r="E2" t="s">
        <v>70</v>
      </c>
    </row>
    <row r="3" spans="1:14" ht="15" thickBot="1">
      <c r="A3" s="6">
        <v>491</v>
      </c>
      <c r="B3" t="s">
        <v>36</v>
      </c>
      <c r="C3">
        <v>230.63333333333333</v>
      </c>
      <c r="D3">
        <v>141</v>
      </c>
      <c r="E3" t="s">
        <v>71</v>
      </c>
      <c r="M3" s="34" t="s">
        <v>94</v>
      </c>
      <c r="N3" s="34"/>
    </row>
    <row r="4" spans="1:14" ht="15" thickBot="1">
      <c r="A4" s="6">
        <v>244</v>
      </c>
      <c r="B4" t="s">
        <v>37</v>
      </c>
      <c r="C4">
        <v>23.194801405930086</v>
      </c>
      <c r="D4">
        <v>174</v>
      </c>
      <c r="E4" t="s">
        <v>72</v>
      </c>
      <c r="M4" s="49" t="s">
        <v>95</v>
      </c>
      <c r="N4" s="50"/>
    </row>
    <row r="5" spans="1:14" ht="15" thickBot="1">
      <c r="A5" s="6">
        <v>174</v>
      </c>
      <c r="B5" t="s">
        <v>38</v>
      </c>
      <c r="C5">
        <v>183.5</v>
      </c>
      <c r="D5">
        <v>250</v>
      </c>
      <c r="E5" t="s">
        <v>73</v>
      </c>
      <c r="G5" t="s">
        <v>76</v>
      </c>
      <c r="M5" s="33" t="s">
        <v>96</v>
      </c>
      <c r="N5" s="33">
        <f>AVERAGE(A2:A31)</f>
        <v>230.63333333333333</v>
      </c>
    </row>
    <row r="6" spans="1:14" ht="15" thickBot="1">
      <c r="A6" s="6">
        <v>108</v>
      </c>
      <c r="B6" t="s">
        <v>39</v>
      </c>
      <c r="C6">
        <v>108</v>
      </c>
      <c r="D6">
        <v>362</v>
      </c>
      <c r="E6" t="s">
        <v>74</v>
      </c>
      <c r="G6" t="s">
        <v>70</v>
      </c>
      <c r="M6" s="33" t="s">
        <v>97</v>
      </c>
      <c r="N6" s="33">
        <f>HARMEAN(A2:A31)</f>
        <v>175.54831448418494</v>
      </c>
    </row>
    <row r="7" spans="1:14" ht="15" thickBot="1">
      <c r="A7" s="6">
        <v>166</v>
      </c>
      <c r="B7" t="s">
        <v>40</v>
      </c>
      <c r="C7">
        <v>127.04315946880449</v>
      </c>
      <c r="D7">
        <v>542</v>
      </c>
      <c r="E7" t="s">
        <v>75</v>
      </c>
      <c r="G7" t="s">
        <v>71</v>
      </c>
      <c r="M7" s="33" t="s">
        <v>98</v>
      </c>
      <c r="N7" s="33">
        <f>GEOMEAN(A2:A31)</f>
        <v>200.42099641830919</v>
      </c>
    </row>
    <row r="8" spans="1:14" ht="15" thickBot="1">
      <c r="A8" s="6">
        <v>400</v>
      </c>
      <c r="B8" t="s">
        <v>41</v>
      </c>
      <c r="C8">
        <v>16139.964367816088</v>
      </c>
      <c r="G8" t="s">
        <v>72</v>
      </c>
      <c r="M8" s="33" t="s">
        <v>99</v>
      </c>
      <c r="N8" s="33">
        <f>SQRT(AVERAGE(A2:A31))</f>
        <v>15.186616915341393</v>
      </c>
    </row>
    <row r="9" spans="1:14" ht="15" thickBot="1">
      <c r="A9" s="6">
        <v>91</v>
      </c>
      <c r="B9" t="s">
        <v>42</v>
      </c>
      <c r="C9">
        <v>-5.6117050050583199E-2</v>
      </c>
      <c r="G9" t="s">
        <v>73</v>
      </c>
    </row>
    <row r="10" spans="1:14" ht="15" thickBot="1">
      <c r="A10" s="6">
        <v>162</v>
      </c>
      <c r="B10" t="s">
        <v>43</v>
      </c>
      <c r="C10">
        <v>0.9250232379157054</v>
      </c>
      <c r="G10" t="s">
        <v>74</v>
      </c>
      <c r="M10" s="31" t="s">
        <v>101</v>
      </c>
      <c r="N10" s="28">
        <f>QUARTILE(A2:A31,1)</f>
        <v>138</v>
      </c>
    </row>
    <row r="11" spans="1:14" ht="15" thickBot="1">
      <c r="A11" s="6">
        <v>387</v>
      </c>
      <c r="B11" t="s">
        <v>44</v>
      </c>
      <c r="C11">
        <v>462</v>
      </c>
      <c r="G11" t="s">
        <v>75</v>
      </c>
      <c r="M11" s="23" t="s">
        <v>102</v>
      </c>
      <c r="N11" s="27">
        <f>QUARTILE(A2:A31,3)</f>
        <v>312</v>
      </c>
    </row>
    <row r="12" spans="1:14" ht="15" thickBot="1">
      <c r="A12" s="6">
        <v>317</v>
      </c>
      <c r="B12" t="s">
        <v>45</v>
      </c>
      <c r="C12">
        <v>80</v>
      </c>
      <c r="M12" s="23" t="s">
        <v>103</v>
      </c>
      <c r="N12" s="27">
        <f>N11-N10</f>
        <v>174</v>
      </c>
    </row>
    <row r="13" spans="1:14" ht="15" thickBot="1">
      <c r="A13" s="6">
        <v>250</v>
      </c>
      <c r="B13" t="s">
        <v>46</v>
      </c>
      <c r="C13">
        <v>542</v>
      </c>
      <c r="M13" s="23" t="s">
        <v>104</v>
      </c>
      <c r="N13" s="27">
        <f>N10-1.5*N12</f>
        <v>-123</v>
      </c>
    </row>
    <row r="14" spans="1:14" ht="15" thickBot="1">
      <c r="A14" s="6">
        <v>153</v>
      </c>
      <c r="B14" t="s">
        <v>47</v>
      </c>
      <c r="C14">
        <v>6919</v>
      </c>
      <c r="M14" s="30" t="s">
        <v>105</v>
      </c>
      <c r="N14" s="15">
        <f>N11+1.5*N12</f>
        <v>573</v>
      </c>
    </row>
    <row r="15" spans="1:14" ht="15" thickBot="1">
      <c r="A15" s="6">
        <v>542</v>
      </c>
      <c r="B15" s="8" t="s">
        <v>48</v>
      </c>
      <c r="C15" s="8">
        <v>30</v>
      </c>
      <c r="M15" s="22" t="s">
        <v>106</v>
      </c>
      <c r="N15" s="25" t="s">
        <v>107</v>
      </c>
    </row>
    <row r="16" spans="1:14" ht="15" thickBot="1">
      <c r="A16" s="6">
        <v>238</v>
      </c>
    </row>
    <row r="17" spans="1:4" ht="15" thickBot="1">
      <c r="A17" s="6">
        <v>256</v>
      </c>
    </row>
    <row r="18" spans="1:4" ht="15" thickBot="1">
      <c r="A18" s="6">
        <v>141</v>
      </c>
    </row>
    <row r="19" spans="1:4" ht="15" thickBot="1">
      <c r="A19" s="6">
        <v>137</v>
      </c>
      <c r="B19" t="s">
        <v>69</v>
      </c>
      <c r="C19" s="9" t="s">
        <v>51</v>
      </c>
    </row>
    <row r="20" spans="1:4" ht="15" thickBot="1">
      <c r="A20" s="6">
        <v>193</v>
      </c>
      <c r="B20" t="s">
        <v>70</v>
      </c>
      <c r="C20">
        <v>4</v>
      </c>
    </row>
    <row r="21" spans="1:4" ht="15" thickBot="1">
      <c r="A21" s="6">
        <v>441</v>
      </c>
      <c r="B21" t="s">
        <v>71</v>
      </c>
      <c r="C21">
        <v>1</v>
      </c>
    </row>
    <row r="22" spans="1:4" ht="15" thickBot="1">
      <c r="A22" s="6">
        <v>297</v>
      </c>
      <c r="B22" t="s">
        <v>72</v>
      </c>
      <c r="C22">
        <v>1</v>
      </c>
    </row>
    <row r="23" spans="1:4" ht="15" thickBot="1">
      <c r="A23" s="6">
        <v>80</v>
      </c>
      <c r="B23" t="s">
        <v>73</v>
      </c>
      <c r="C23">
        <v>1</v>
      </c>
    </row>
    <row r="24" spans="1:4" ht="15" thickBot="1">
      <c r="A24" s="6">
        <v>141</v>
      </c>
      <c r="B24" t="s">
        <v>74</v>
      </c>
      <c r="C24">
        <v>2</v>
      </c>
    </row>
    <row r="25" spans="1:4" ht="15" thickBot="1">
      <c r="A25" s="6">
        <v>335</v>
      </c>
      <c r="B25" t="s">
        <v>75</v>
      </c>
      <c r="C25">
        <v>0</v>
      </c>
    </row>
    <row r="26" spans="1:4" ht="15" thickBot="1">
      <c r="A26" s="6">
        <v>108</v>
      </c>
      <c r="B26" s="8" t="s">
        <v>50</v>
      </c>
      <c r="C26" s="8">
        <v>0</v>
      </c>
    </row>
    <row r="27" spans="1:4" ht="15" thickBot="1">
      <c r="A27" s="6">
        <v>211</v>
      </c>
    </row>
    <row r="28" spans="1:4" ht="15" thickBot="1">
      <c r="A28" s="6">
        <v>102</v>
      </c>
    </row>
    <row r="29" spans="1:4" ht="15" thickBot="1">
      <c r="A29" s="6">
        <v>106</v>
      </c>
    </row>
    <row r="30" spans="1:4" ht="15" thickBot="1">
      <c r="A30" s="6">
        <v>362</v>
      </c>
      <c r="C30" t="s">
        <v>134</v>
      </c>
      <c r="D30">
        <f>C11/C15</f>
        <v>15.4</v>
      </c>
    </row>
    <row r="31" spans="1:4" ht="15" thickBot="1">
      <c r="A31" s="6">
        <v>153</v>
      </c>
    </row>
  </sheetData>
  <sortState xmlns:xlrd2="http://schemas.microsoft.com/office/spreadsheetml/2017/richdata2" ref="B20:B25">
    <sortCondition ref="B20"/>
  </sortState>
  <mergeCells count="1">
    <mergeCell ref="M4:N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zoomScale="70" zoomScaleNormal="70" workbookViewId="0">
      <selection sqref="A1:A31"/>
    </sheetView>
  </sheetViews>
  <sheetFormatPr defaultRowHeight="14.4"/>
  <cols>
    <col min="1" max="1" width="14.88671875" customWidth="1"/>
    <col min="2" max="2" width="35.77734375" customWidth="1"/>
    <col min="7" max="7" width="13" customWidth="1"/>
    <col min="8" max="8" width="16.5546875" customWidth="1"/>
    <col min="13" max="13" width="11.44140625" customWidth="1"/>
  </cols>
  <sheetData>
    <row r="1" spans="1:14" ht="40.799999999999997" thickBot="1">
      <c r="A1" s="3" t="s">
        <v>4</v>
      </c>
      <c r="B1" s="9" t="s">
        <v>4</v>
      </c>
      <c r="C1" s="9"/>
      <c r="D1" t="s">
        <v>52</v>
      </c>
      <c r="E1" t="s">
        <v>62</v>
      </c>
    </row>
    <row r="2" spans="1:14" ht="15" thickBot="1">
      <c r="A2" s="6">
        <v>1520</v>
      </c>
      <c r="D2">
        <v>1303</v>
      </c>
      <c r="E2" t="s">
        <v>77</v>
      </c>
      <c r="G2" s="34" t="s">
        <v>94</v>
      </c>
      <c r="H2" s="34"/>
      <c r="L2" s="31" t="s">
        <v>101</v>
      </c>
      <c r="M2" s="28">
        <f>QUARTILE(A2:A31,1)</f>
        <v>1805.5</v>
      </c>
    </row>
    <row r="3" spans="1:14" ht="15" thickBot="1">
      <c r="A3" s="6">
        <v>7142</v>
      </c>
      <c r="B3" t="s">
        <v>36</v>
      </c>
      <c r="C3">
        <v>2709.6</v>
      </c>
      <c r="D3">
        <v>1913</v>
      </c>
      <c r="E3" t="s">
        <v>78</v>
      </c>
      <c r="G3" s="49" t="s">
        <v>95</v>
      </c>
      <c r="H3" s="50"/>
      <c r="L3" s="23" t="s">
        <v>102</v>
      </c>
      <c r="M3" s="27">
        <f>QUARTILE(A2:A31,3)</f>
        <v>3316</v>
      </c>
    </row>
    <row r="4" spans="1:14" ht="15" thickBot="1">
      <c r="A4" s="6">
        <v>2920</v>
      </c>
      <c r="B4" t="s">
        <v>37</v>
      </c>
      <c r="C4">
        <v>298.14910872662813</v>
      </c>
      <c r="D4">
        <v>2191</v>
      </c>
      <c r="E4" t="s">
        <v>79</v>
      </c>
      <c r="G4" s="33" t="s">
        <v>96</v>
      </c>
      <c r="H4" s="33">
        <f>AVERAGE(A2:A31)</f>
        <v>2709.6</v>
      </c>
      <c r="L4" s="23" t="s">
        <v>103</v>
      </c>
      <c r="M4" s="27">
        <f>M3-M2</f>
        <v>1510.5</v>
      </c>
    </row>
    <row r="5" spans="1:14" ht="15" thickBot="1">
      <c r="A5" s="6">
        <v>1804</v>
      </c>
      <c r="B5" t="s">
        <v>38</v>
      </c>
      <c r="C5">
        <v>2265.5</v>
      </c>
      <c r="D5">
        <v>2920</v>
      </c>
      <c r="E5" t="s">
        <v>80</v>
      </c>
      <c r="G5" s="33" t="s">
        <v>97</v>
      </c>
      <c r="H5" s="33">
        <f>HARMEAN(A2:A31)</f>
        <v>1991.6465180048683</v>
      </c>
      <c r="L5" s="23" t="s">
        <v>104</v>
      </c>
      <c r="M5" s="27">
        <f>M2-1.5*M4</f>
        <v>-460.25</v>
      </c>
    </row>
    <row r="6" spans="1:14" ht="15" thickBot="1">
      <c r="A6" s="6">
        <v>1303</v>
      </c>
      <c r="B6" t="s">
        <v>39</v>
      </c>
      <c r="C6">
        <v>831</v>
      </c>
      <c r="D6">
        <v>3877</v>
      </c>
      <c r="E6" t="s">
        <v>81</v>
      </c>
      <c r="G6" s="33" t="s">
        <v>98</v>
      </c>
      <c r="H6" s="33">
        <f>GEOMEAN(A2:A31)</f>
        <v>2319.6562625773299</v>
      </c>
      <c r="L6" s="30" t="s">
        <v>105</v>
      </c>
      <c r="M6" s="15">
        <f>M3+1.5*M4</f>
        <v>5581.75</v>
      </c>
    </row>
    <row r="7" spans="1:14" ht="15" thickBot="1">
      <c r="A7" s="6">
        <v>2087</v>
      </c>
      <c r="B7" t="s">
        <v>40</v>
      </c>
      <c r="C7">
        <v>1633.0299234963461</v>
      </c>
      <c r="D7">
        <v>7575</v>
      </c>
      <c r="E7" t="s">
        <v>82</v>
      </c>
      <c r="G7" s="33" t="s">
        <v>99</v>
      </c>
      <c r="H7" s="33">
        <f>SQRT(AVERAGE(A2:A31))</f>
        <v>52.05381830375174</v>
      </c>
      <c r="L7" s="22" t="s">
        <v>106</v>
      </c>
      <c r="M7" s="51" t="s">
        <v>20</v>
      </c>
      <c r="N7" s="25">
        <v>7575</v>
      </c>
    </row>
    <row r="8" spans="1:14" ht="15" thickBot="1">
      <c r="A8" s="6">
        <v>3877</v>
      </c>
      <c r="B8" t="s">
        <v>41</v>
      </c>
      <c r="C8">
        <v>2666786.7310344824</v>
      </c>
      <c r="L8" s="12"/>
      <c r="M8" s="51" t="s">
        <v>8</v>
      </c>
      <c r="N8" s="12">
        <v>7142</v>
      </c>
    </row>
    <row r="9" spans="1:14" ht="15" thickBot="1">
      <c r="A9" s="6">
        <v>1810</v>
      </c>
      <c r="B9" t="s">
        <v>42</v>
      </c>
      <c r="C9">
        <v>2.7833573053216729</v>
      </c>
    </row>
    <row r="10" spans="1:14" ht="15" thickBot="1">
      <c r="A10" s="6">
        <v>1966</v>
      </c>
      <c r="B10" t="s">
        <v>43</v>
      </c>
      <c r="C10">
        <v>1.5677345958071072</v>
      </c>
    </row>
    <row r="11" spans="1:14" ht="15" thickBot="1">
      <c r="A11" s="6">
        <v>4160</v>
      </c>
      <c r="B11" t="s">
        <v>44</v>
      </c>
      <c r="C11">
        <v>6744</v>
      </c>
    </row>
    <row r="12" spans="1:14" ht="15" thickBot="1">
      <c r="A12" s="6">
        <v>2814</v>
      </c>
      <c r="B12" t="s">
        <v>45</v>
      </c>
      <c r="C12">
        <v>831</v>
      </c>
    </row>
    <row r="13" spans="1:14" ht="15" thickBot="1">
      <c r="A13" s="6">
        <v>3391</v>
      </c>
      <c r="B13" t="s">
        <v>46</v>
      </c>
      <c r="C13">
        <v>7575</v>
      </c>
    </row>
    <row r="14" spans="1:14" ht="15" thickBot="1">
      <c r="A14" s="6">
        <v>2191</v>
      </c>
      <c r="B14" t="s">
        <v>47</v>
      </c>
      <c r="C14">
        <v>81288</v>
      </c>
    </row>
    <row r="15" spans="1:14" ht="15" thickBot="1">
      <c r="A15" s="6">
        <v>7575</v>
      </c>
      <c r="B15" s="8" t="s">
        <v>48</v>
      </c>
      <c r="C15" s="8">
        <v>30</v>
      </c>
    </row>
    <row r="16" spans="1:14" ht="15" thickBot="1">
      <c r="A16" s="6">
        <v>2340</v>
      </c>
    </row>
    <row r="17" spans="1:7" ht="15" thickBot="1">
      <c r="A17" s="6">
        <v>3091</v>
      </c>
      <c r="B17" t="s">
        <v>62</v>
      </c>
      <c r="C17" s="9" t="s">
        <v>51</v>
      </c>
    </row>
    <row r="18" spans="1:7" ht="15" thickBot="1">
      <c r="A18" s="6">
        <v>1951</v>
      </c>
      <c r="B18" t="s">
        <v>77</v>
      </c>
      <c r="C18">
        <v>5</v>
      </c>
    </row>
    <row r="19" spans="1:7" ht="15" thickBot="1">
      <c r="A19" s="6">
        <v>1952</v>
      </c>
      <c r="B19" t="s">
        <v>78</v>
      </c>
      <c r="C19">
        <v>5</v>
      </c>
    </row>
    <row r="20" spans="1:7" ht="15" thickBot="1">
      <c r="A20" s="6">
        <v>2581</v>
      </c>
      <c r="B20" t="s">
        <v>79</v>
      </c>
      <c r="C20">
        <v>5</v>
      </c>
    </row>
    <row r="21" spans="1:7" ht="15" thickBot="1">
      <c r="A21" s="6">
        <v>4485</v>
      </c>
      <c r="B21" t="s">
        <v>80</v>
      </c>
      <c r="C21">
        <v>5</v>
      </c>
    </row>
    <row r="22" spans="1:7" ht="15" thickBot="1">
      <c r="A22" s="6">
        <v>2965</v>
      </c>
      <c r="B22" t="s">
        <v>81</v>
      </c>
      <c r="C22">
        <v>5</v>
      </c>
    </row>
    <row r="23" spans="1:7" ht="15" thickBot="1">
      <c r="A23" s="6">
        <v>831</v>
      </c>
      <c r="B23" t="s">
        <v>82</v>
      </c>
      <c r="C23">
        <v>5</v>
      </c>
    </row>
    <row r="24" spans="1:7" ht="15" thickBot="1">
      <c r="A24" s="6">
        <v>1327</v>
      </c>
      <c r="B24" s="8" t="s">
        <v>50</v>
      </c>
      <c r="C24" s="8">
        <v>0</v>
      </c>
    </row>
    <row r="25" spans="1:7" ht="15" thickBot="1">
      <c r="A25" s="6">
        <v>3619</v>
      </c>
      <c r="F25" t="s">
        <v>134</v>
      </c>
      <c r="G25">
        <f>C11/C15</f>
        <v>224.8</v>
      </c>
    </row>
    <row r="26" spans="1:7" ht="15" thickBot="1">
      <c r="A26" s="6">
        <v>1211</v>
      </c>
    </row>
    <row r="27" spans="1:7" ht="15" thickBot="1">
      <c r="A27" s="6">
        <v>2357</v>
      </c>
    </row>
    <row r="28" spans="1:7" ht="15" thickBot="1">
      <c r="A28" s="6">
        <v>831</v>
      </c>
    </row>
    <row r="29" spans="1:7" ht="15" thickBot="1">
      <c r="A29" s="6">
        <v>859</v>
      </c>
    </row>
    <row r="30" spans="1:7" ht="15" thickBot="1">
      <c r="A30" s="6">
        <v>4415</v>
      </c>
    </row>
    <row r="31" spans="1:7" ht="15" thickBot="1">
      <c r="A31" s="6">
        <v>1913</v>
      </c>
    </row>
  </sheetData>
  <sortState xmlns:xlrd2="http://schemas.microsoft.com/office/spreadsheetml/2017/richdata2" ref="B18:B23">
    <sortCondition ref="B18"/>
  </sortState>
  <mergeCells count="1">
    <mergeCell ref="G3:H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1"/>
  <sheetViews>
    <sheetView topLeftCell="A2" zoomScale="85" zoomScaleNormal="85" workbookViewId="0">
      <selection sqref="A1:A31"/>
    </sheetView>
  </sheetViews>
  <sheetFormatPr defaultRowHeight="14.4"/>
  <cols>
    <col min="2" max="2" width="16.109375" customWidth="1"/>
    <col min="4" max="4" width="11.6640625" customWidth="1"/>
    <col min="11" max="11" width="12.44140625" customWidth="1"/>
    <col min="12" max="12" width="14.88671875" customWidth="1"/>
  </cols>
  <sheetData>
    <row r="1" spans="1:15" ht="40.799999999999997" thickBot="1">
      <c r="A1" s="4" t="s">
        <v>5</v>
      </c>
      <c r="B1" s="9" t="s">
        <v>5</v>
      </c>
      <c r="C1" s="9"/>
      <c r="M1" s="31" t="s">
        <v>101</v>
      </c>
      <c r="N1" s="24">
        <f>QUARTILE(A2:A31,1)</f>
        <v>4519.5</v>
      </c>
      <c r="O1" s="28"/>
    </row>
    <row r="2" spans="1:15" ht="15" thickBot="1">
      <c r="A2" s="7">
        <v>3500</v>
      </c>
      <c r="M2" s="23" t="s">
        <v>102</v>
      </c>
      <c r="N2">
        <f>QUARTILE(A2:A31,3)</f>
        <v>7622.25</v>
      </c>
      <c r="O2" s="27"/>
    </row>
    <row r="3" spans="1:15" ht="15" thickBot="1">
      <c r="A3" s="7">
        <v>8697</v>
      </c>
      <c r="B3" t="s">
        <v>36</v>
      </c>
      <c r="C3">
        <v>6136.9666666666662</v>
      </c>
      <c r="D3" t="s">
        <v>62</v>
      </c>
      <c r="E3" s="9" t="s">
        <v>51</v>
      </c>
      <c r="M3" s="23" t="s">
        <v>103</v>
      </c>
      <c r="N3">
        <f>N2-N1</f>
        <v>3102.75</v>
      </c>
      <c r="O3" s="27"/>
    </row>
    <row r="4" spans="1:15" ht="15" thickBot="1">
      <c r="A4" s="7">
        <v>5995</v>
      </c>
      <c r="B4" t="s">
        <v>37</v>
      </c>
      <c r="C4">
        <v>394.8307348182106</v>
      </c>
      <c r="D4" t="s">
        <v>83</v>
      </c>
      <c r="E4">
        <v>5</v>
      </c>
      <c r="M4" s="23" t="s">
        <v>104</v>
      </c>
      <c r="N4">
        <f>N1-1.5*N3</f>
        <v>-134.625</v>
      </c>
      <c r="O4" s="27"/>
    </row>
    <row r="5" spans="1:15" ht="15" thickBot="1">
      <c r="A5" s="7">
        <v>4485</v>
      </c>
      <c r="B5" t="s">
        <v>38</v>
      </c>
      <c r="C5">
        <v>5862</v>
      </c>
      <c r="D5" t="s">
        <v>84</v>
      </c>
      <c r="E5">
        <v>5</v>
      </c>
      <c r="M5" s="23" t="s">
        <v>105</v>
      </c>
      <c r="N5">
        <f>N2+1.5*N3</f>
        <v>12276.375</v>
      </c>
      <c r="O5" s="27"/>
    </row>
    <row r="6" spans="1:15" ht="15" thickBot="1">
      <c r="A6" s="7">
        <v>3161</v>
      </c>
      <c r="B6" t="s">
        <v>39</v>
      </c>
      <c r="C6" t="s">
        <v>100</v>
      </c>
      <c r="D6" t="s">
        <v>85</v>
      </c>
      <c r="E6">
        <v>5</v>
      </c>
      <c r="M6" s="31" t="s">
        <v>106</v>
      </c>
      <c r="N6" s="24" t="s">
        <v>7</v>
      </c>
      <c r="O6" s="28">
        <v>7142</v>
      </c>
    </row>
    <row r="7" spans="1:15" ht="15" thickBot="1">
      <c r="A7" s="7">
        <v>4646</v>
      </c>
      <c r="B7" t="s">
        <v>40</v>
      </c>
      <c r="C7">
        <v>2162.5769985627435</v>
      </c>
      <c r="D7" t="s">
        <v>86</v>
      </c>
      <c r="E7">
        <v>5</v>
      </c>
      <c r="M7" s="18"/>
      <c r="N7" s="8" t="s">
        <v>19</v>
      </c>
      <c r="O7" s="15">
        <v>7575</v>
      </c>
    </row>
    <row r="8" spans="1:15" ht="15" thickBot="1">
      <c r="A8" s="7">
        <v>6981</v>
      </c>
      <c r="B8" t="s">
        <v>41</v>
      </c>
      <c r="C8">
        <v>4676739.2747126445</v>
      </c>
      <c r="D8" t="s">
        <v>87</v>
      </c>
      <c r="E8">
        <v>5</v>
      </c>
    </row>
    <row r="9" spans="1:15" ht="15" thickBot="1">
      <c r="A9" s="7">
        <v>2756</v>
      </c>
      <c r="B9" t="s">
        <v>42</v>
      </c>
      <c r="C9">
        <v>-0.58928328276277542</v>
      </c>
      <c r="D9" t="s">
        <v>88</v>
      </c>
      <c r="E9">
        <v>5</v>
      </c>
    </row>
    <row r="10" spans="1:15" ht="15" thickBot="1">
      <c r="A10" s="7">
        <v>3924</v>
      </c>
      <c r="B10" t="s">
        <v>43</v>
      </c>
      <c r="C10">
        <v>0.38819805770861054</v>
      </c>
      <c r="D10" s="8" t="s">
        <v>50</v>
      </c>
      <c r="E10" s="8">
        <v>0</v>
      </c>
    </row>
    <row r="11" spans="1:15" ht="15" thickBot="1">
      <c r="A11" s="7">
        <v>7686</v>
      </c>
      <c r="B11" t="s">
        <v>44</v>
      </c>
      <c r="C11">
        <v>8439</v>
      </c>
    </row>
    <row r="12" spans="1:15" ht="15" thickBot="1">
      <c r="A12" s="7">
        <v>4836</v>
      </c>
      <c r="B12" t="s">
        <v>45</v>
      </c>
      <c r="C12">
        <v>2756</v>
      </c>
    </row>
    <row r="13" spans="1:15" ht="15" thickBot="1">
      <c r="A13" s="7">
        <v>9129</v>
      </c>
      <c r="B13" t="s">
        <v>46</v>
      </c>
      <c r="C13">
        <v>11195</v>
      </c>
    </row>
    <row r="14" spans="1:15" ht="15" thickBot="1">
      <c r="A14" s="7">
        <v>5729</v>
      </c>
      <c r="B14" t="s">
        <v>47</v>
      </c>
      <c r="C14">
        <v>184109</v>
      </c>
    </row>
    <row r="15" spans="1:15" ht="15" thickBot="1">
      <c r="A15" s="7">
        <v>9282</v>
      </c>
      <c r="B15" s="8" t="s">
        <v>48</v>
      </c>
      <c r="C15" s="8">
        <v>30</v>
      </c>
    </row>
    <row r="16" spans="1:15" ht="15" thickBot="1">
      <c r="A16" s="7">
        <v>7195</v>
      </c>
      <c r="K16" s="34" t="s">
        <v>94</v>
      </c>
      <c r="L16" s="34"/>
    </row>
    <row r="17" spans="1:12" ht="15" thickBot="1">
      <c r="A17" s="7">
        <v>8053</v>
      </c>
      <c r="B17" t="s">
        <v>52</v>
      </c>
      <c r="C17" t="s">
        <v>62</v>
      </c>
      <c r="K17" s="49" t="s">
        <v>95</v>
      </c>
      <c r="L17" s="50"/>
    </row>
    <row r="18" spans="1:12" ht="15" thickBot="1">
      <c r="A18" s="7">
        <v>5577</v>
      </c>
      <c r="B18">
        <v>3924</v>
      </c>
      <c r="C18" t="s">
        <v>83</v>
      </c>
      <c r="K18" s="33" t="s">
        <v>96</v>
      </c>
      <c r="L18" s="33">
        <f>AVERAGE(A2:A31)</f>
        <v>6136.9666666666662</v>
      </c>
    </row>
    <row r="19" spans="1:12" ht="15" thickBot="1">
      <c r="A19" s="7">
        <v>5189</v>
      </c>
      <c r="B19">
        <v>4646</v>
      </c>
      <c r="C19" t="s">
        <v>84</v>
      </c>
      <c r="K19" s="33" t="s">
        <v>97</v>
      </c>
      <c r="L19" s="33">
        <f>HARMEAN(A2:A31)</f>
        <v>5395.9408914482528</v>
      </c>
    </row>
    <row r="20" spans="1:12" ht="15" thickBot="1">
      <c r="A20" s="7">
        <v>6977</v>
      </c>
      <c r="B20">
        <v>5729</v>
      </c>
      <c r="C20" t="s">
        <v>85</v>
      </c>
      <c r="K20" s="33" t="s">
        <v>98</v>
      </c>
      <c r="L20" s="33">
        <f>GEOMEAN(A2:A31)</f>
        <v>5763.9123625976335</v>
      </c>
    </row>
    <row r="21" spans="1:12" ht="15" thickBot="1">
      <c r="A21" s="7">
        <v>9203</v>
      </c>
      <c r="B21">
        <v>6981</v>
      </c>
      <c r="C21" t="s">
        <v>86</v>
      </c>
      <c r="K21" s="33" t="s">
        <v>99</v>
      </c>
      <c r="L21" s="33">
        <f>SQRT(AVERAGE(A2:A31))</f>
        <v>78.338794135898382</v>
      </c>
    </row>
    <row r="22" spans="1:12" ht="15" thickBot="1">
      <c r="A22" s="7">
        <v>7431</v>
      </c>
      <c r="B22">
        <v>8193</v>
      </c>
      <c r="C22" t="s">
        <v>87</v>
      </c>
    </row>
    <row r="23" spans="1:12" ht="15" thickBot="1">
      <c r="A23" s="7">
        <v>3160</v>
      </c>
      <c r="B23">
        <v>11195</v>
      </c>
      <c r="C23" t="s">
        <v>88</v>
      </c>
    </row>
    <row r="24" spans="1:12" ht="15" thickBot="1">
      <c r="A24" s="7">
        <v>4842</v>
      </c>
    </row>
    <row r="25" spans="1:12" ht="15" thickBot="1">
      <c r="A25" s="7">
        <v>8193</v>
      </c>
      <c r="D25" t="s">
        <v>134</v>
      </c>
      <c r="E25">
        <f>C11/C15</f>
        <v>281.3</v>
      </c>
    </row>
    <row r="26" spans="1:12" ht="15" thickBot="1">
      <c r="A26" s="7">
        <v>4623</v>
      </c>
    </row>
    <row r="27" spans="1:12" ht="15" thickBot="1">
      <c r="A27" s="7">
        <v>6873</v>
      </c>
    </row>
    <row r="28" spans="1:12" ht="15" thickBot="1">
      <c r="A28" s="7">
        <v>4418</v>
      </c>
    </row>
    <row r="29" spans="1:12" ht="15" thickBot="1">
      <c r="A29" s="7">
        <v>4087</v>
      </c>
    </row>
    <row r="30" spans="1:12" ht="15" thickBot="1">
      <c r="A30" s="7">
        <v>11195</v>
      </c>
    </row>
    <row r="31" spans="1:12" ht="15" thickBot="1">
      <c r="A31" s="7">
        <v>6286</v>
      </c>
    </row>
  </sheetData>
  <sortState xmlns:xlrd2="http://schemas.microsoft.com/office/spreadsheetml/2017/richdata2" ref="D4:D9">
    <sortCondition ref="D4"/>
  </sortState>
  <mergeCells count="1">
    <mergeCell ref="K17:L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A050-6E20-4F1E-934E-D2B942837113}">
  <dimension ref="A1:G17"/>
  <sheetViews>
    <sheetView zoomScale="71" workbookViewId="0">
      <selection activeCell="A17" sqref="A17:H17"/>
    </sheetView>
  </sheetViews>
  <sheetFormatPr defaultRowHeight="14.4"/>
  <cols>
    <col min="3" max="3" width="25.21875" customWidth="1"/>
  </cols>
  <sheetData>
    <row r="1" spans="2:2" ht="15" thickBot="1">
      <c r="B1" s="12"/>
    </row>
    <row r="17" spans="1:7">
      <c r="A17" t="s">
        <v>89</v>
      </c>
      <c r="G17" t="s">
        <v>131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E385-F8D0-4D4C-87A0-4058D01DC0E5}">
  <dimension ref="A1:L11"/>
  <sheetViews>
    <sheetView workbookViewId="0">
      <selection activeCell="L2" sqref="L2"/>
    </sheetView>
  </sheetViews>
  <sheetFormatPr defaultRowHeight="14.4"/>
  <cols>
    <col min="2" max="2" width="15.44140625" customWidth="1"/>
    <col min="3" max="3" width="22.109375" customWidth="1"/>
    <col min="10" max="10" width="25" customWidth="1"/>
    <col min="12" max="12" width="18.77734375" customWidth="1"/>
  </cols>
  <sheetData>
    <row r="1" spans="1:12" ht="40.200000000000003">
      <c r="A1" s="21" t="s">
        <v>1</v>
      </c>
      <c r="B1" s="21" t="s">
        <v>2</v>
      </c>
      <c r="C1" s="21" t="s">
        <v>0</v>
      </c>
      <c r="D1" s="17" t="s">
        <v>108</v>
      </c>
      <c r="E1" s="17" t="s">
        <v>109</v>
      </c>
      <c r="F1" s="17" t="s">
        <v>110</v>
      </c>
      <c r="G1" s="17" t="s">
        <v>111</v>
      </c>
      <c r="J1" s="40" t="s">
        <v>121</v>
      </c>
      <c r="K1" s="26">
        <f>CORREL(D2:D11,E2:E11)</f>
        <v>0.93904184731142037</v>
      </c>
      <c r="L1" t="s">
        <v>135</v>
      </c>
    </row>
    <row r="2" spans="1:12" ht="36" customHeight="1">
      <c r="A2" s="29">
        <v>4</v>
      </c>
      <c r="B2" s="29">
        <v>504</v>
      </c>
      <c r="C2" s="20" t="s">
        <v>6</v>
      </c>
      <c r="D2" s="26">
        <f t="shared" ref="D2:D11" si="0">_xlfn.RANK.AVG(A2,$A$2:$A$11,1)</f>
        <v>1.5</v>
      </c>
      <c r="E2" s="26">
        <f t="shared" ref="E2:E11" si="1">_xlfn.RANK.AVG(B2,$B$2:$B$11,1)</f>
        <v>3</v>
      </c>
      <c r="F2" s="26">
        <f>D2-E2</f>
        <v>-1.5</v>
      </c>
      <c r="G2" s="26">
        <f>F2^2</f>
        <v>2.25</v>
      </c>
      <c r="J2" s="40" t="s">
        <v>122</v>
      </c>
      <c r="K2" s="26">
        <f>CORREL(A2:A11,B2:B11)</f>
        <v>0.91699479823787788</v>
      </c>
    </row>
    <row r="3" spans="1:12" ht="32.4" customHeight="1">
      <c r="A3" s="29">
        <v>37</v>
      </c>
      <c r="B3" s="29">
        <v>4383</v>
      </c>
      <c r="C3" s="20" t="s">
        <v>7</v>
      </c>
      <c r="D3" s="26">
        <f t="shared" si="0"/>
        <v>10</v>
      </c>
      <c r="E3" s="26">
        <f t="shared" si="1"/>
        <v>10</v>
      </c>
      <c r="F3" s="26">
        <f t="shared" ref="F3:F11" si="2">D3-E3</f>
        <v>0</v>
      </c>
      <c r="G3" s="26">
        <f t="shared" ref="G3:G11" si="3">F3^2</f>
        <v>0</v>
      </c>
      <c r="J3" s="41" t="s">
        <v>123</v>
      </c>
      <c r="K3" s="26">
        <f>1-(6*10)/(10*99)</f>
        <v>0.93939393939393945</v>
      </c>
      <c r="L3" t="s">
        <v>135</v>
      </c>
    </row>
    <row r="4" spans="1:12" ht="30.6" customHeight="1">
      <c r="A4" s="29">
        <v>15</v>
      </c>
      <c r="B4" s="29">
        <v>948</v>
      </c>
      <c r="C4" s="20" t="s">
        <v>8</v>
      </c>
      <c r="D4" s="26">
        <f t="shared" si="0"/>
        <v>7</v>
      </c>
      <c r="E4" s="26">
        <f t="shared" si="1"/>
        <v>7</v>
      </c>
      <c r="F4" s="26">
        <f t="shared" si="2"/>
        <v>0</v>
      </c>
      <c r="G4" s="26">
        <f t="shared" si="3"/>
        <v>0</v>
      </c>
      <c r="J4" t="s">
        <v>124</v>
      </c>
      <c r="K4">
        <v>10</v>
      </c>
    </row>
    <row r="5" spans="1:12" ht="14.4" customHeight="1">
      <c r="A5" s="29">
        <v>6</v>
      </c>
      <c r="B5" s="29">
        <v>630</v>
      </c>
      <c r="C5" s="20" t="s">
        <v>9</v>
      </c>
      <c r="D5" s="26">
        <f t="shared" si="0"/>
        <v>3.5</v>
      </c>
      <c r="E5" s="26">
        <f t="shared" si="1"/>
        <v>5</v>
      </c>
      <c r="F5" s="26">
        <f t="shared" si="2"/>
        <v>-1.5</v>
      </c>
      <c r="G5" s="26">
        <f t="shared" si="3"/>
        <v>2.25</v>
      </c>
      <c r="J5" t="s">
        <v>125</v>
      </c>
      <c r="K5">
        <f>(ABS(K1)*SQRT(K4-2))/(SQRT(1-ABS(K1)^2))</f>
        <v>7.7253906632385885</v>
      </c>
    </row>
    <row r="6" spans="1:12">
      <c r="A6" s="29">
        <v>6</v>
      </c>
      <c r="B6" s="29">
        <v>456</v>
      </c>
      <c r="C6" s="20" t="s">
        <v>10</v>
      </c>
      <c r="D6" s="26">
        <f t="shared" si="0"/>
        <v>3.5</v>
      </c>
      <c r="E6" s="26">
        <f t="shared" si="1"/>
        <v>2</v>
      </c>
      <c r="F6" s="26">
        <f t="shared" si="2"/>
        <v>1.5</v>
      </c>
      <c r="G6" s="26">
        <f t="shared" si="3"/>
        <v>2.25</v>
      </c>
      <c r="J6" t="s">
        <v>126</v>
      </c>
      <c r="K6">
        <v>8</v>
      </c>
    </row>
    <row r="7" spans="1:12">
      <c r="A7" s="29">
        <v>11</v>
      </c>
      <c r="B7" s="29">
        <v>672</v>
      </c>
      <c r="C7" s="20" t="s">
        <v>11</v>
      </c>
      <c r="D7" s="26">
        <f t="shared" si="0"/>
        <v>6</v>
      </c>
      <c r="E7" s="26">
        <f t="shared" si="1"/>
        <v>6</v>
      </c>
      <c r="F7" s="26">
        <f t="shared" si="2"/>
        <v>0</v>
      </c>
      <c r="G7" s="26">
        <f t="shared" si="3"/>
        <v>0</v>
      </c>
      <c r="J7" t="s">
        <v>127</v>
      </c>
      <c r="K7">
        <f>TDIST(K5,K6,2)</f>
        <v>5.6101819249314171E-5</v>
      </c>
    </row>
    <row r="8" spans="1:12" ht="15.6" customHeight="1">
      <c r="A8" s="29">
        <v>23</v>
      </c>
      <c r="B8" s="29">
        <v>2035</v>
      </c>
      <c r="C8" s="20" t="s">
        <v>12</v>
      </c>
      <c r="D8" s="26">
        <f t="shared" si="0"/>
        <v>9</v>
      </c>
      <c r="E8" s="26">
        <f t="shared" si="1"/>
        <v>8</v>
      </c>
      <c r="F8" s="26">
        <f t="shared" si="2"/>
        <v>1</v>
      </c>
      <c r="G8" s="26">
        <f t="shared" si="3"/>
        <v>1</v>
      </c>
    </row>
    <row r="9" spans="1:12" ht="15.6" customHeight="1">
      <c r="A9" s="29">
        <v>4</v>
      </c>
      <c r="B9" s="29">
        <v>436</v>
      </c>
      <c r="C9" s="20" t="s">
        <v>13</v>
      </c>
      <c r="D9" s="26">
        <f t="shared" si="0"/>
        <v>1.5</v>
      </c>
      <c r="E9" s="26">
        <f t="shared" si="1"/>
        <v>1</v>
      </c>
      <c r="F9" s="26">
        <f t="shared" si="2"/>
        <v>0.5</v>
      </c>
      <c r="G9" s="26">
        <f t="shared" si="3"/>
        <v>0.25</v>
      </c>
    </row>
    <row r="10" spans="1:12" ht="19.2" customHeight="1">
      <c r="A10" s="29">
        <v>7</v>
      </c>
      <c r="B10" s="29">
        <v>620</v>
      </c>
      <c r="C10" s="20" t="s">
        <v>14</v>
      </c>
      <c r="D10" s="26">
        <f t="shared" si="0"/>
        <v>5</v>
      </c>
      <c r="E10" s="26">
        <f t="shared" si="1"/>
        <v>4</v>
      </c>
      <c r="F10" s="26">
        <f t="shared" si="2"/>
        <v>1</v>
      </c>
      <c r="G10" s="26">
        <f t="shared" si="3"/>
        <v>1</v>
      </c>
    </row>
    <row r="11" spans="1:12">
      <c r="A11" s="29">
        <v>16</v>
      </c>
      <c r="B11" s="29">
        <v>2984</v>
      </c>
      <c r="C11" s="20" t="s">
        <v>15</v>
      </c>
      <c r="D11" s="26">
        <f t="shared" si="0"/>
        <v>8</v>
      </c>
      <c r="E11" s="26">
        <f t="shared" si="1"/>
        <v>9</v>
      </c>
      <c r="F11" s="26">
        <f t="shared" si="2"/>
        <v>-1</v>
      </c>
      <c r="G11" s="26">
        <f t="shared" si="3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4BCC-BF76-4AB3-AD96-9ADC2E6C0EE2}">
  <dimension ref="A1:J12"/>
  <sheetViews>
    <sheetView workbookViewId="0">
      <selection activeCell="H8" sqref="H8:J8"/>
    </sheetView>
  </sheetViews>
  <sheetFormatPr defaultRowHeight="14.4"/>
  <cols>
    <col min="8" max="8" width="36" customWidth="1"/>
    <col min="9" max="9" width="21.88671875" customWidth="1"/>
    <col min="10" max="10" width="58.6640625" customWidth="1"/>
  </cols>
  <sheetData>
    <row r="1" spans="1:10" ht="66.599999999999994">
      <c r="A1" s="21" t="s">
        <v>1</v>
      </c>
      <c r="B1" s="21" t="s">
        <v>2</v>
      </c>
      <c r="C1" s="21" t="s">
        <v>0</v>
      </c>
      <c r="D1" s="35" t="s">
        <v>113</v>
      </c>
      <c r="E1" s="35" t="s">
        <v>114</v>
      </c>
      <c r="F1" s="35"/>
      <c r="H1" t="s">
        <v>116</v>
      </c>
    </row>
    <row r="2" spans="1:10" ht="40.200000000000003" customHeight="1">
      <c r="A2" s="29">
        <v>4</v>
      </c>
      <c r="B2" s="29">
        <v>504</v>
      </c>
      <c r="C2" s="36" t="s">
        <v>6</v>
      </c>
      <c r="D2" s="26">
        <v>7</v>
      </c>
      <c r="E2" s="26">
        <v>1</v>
      </c>
      <c r="H2" s="38" t="s">
        <v>117</v>
      </c>
    </row>
    <row r="3" spans="1:10" ht="38.4" customHeight="1">
      <c r="A3" s="29">
        <v>37</v>
      </c>
      <c r="B3" s="29">
        <v>4383</v>
      </c>
      <c r="C3" s="36" t="s">
        <v>7</v>
      </c>
      <c r="D3" s="26">
        <v>9</v>
      </c>
      <c r="E3" s="26">
        <v>0</v>
      </c>
      <c r="H3" s="38" t="s">
        <v>118</v>
      </c>
    </row>
    <row r="4" spans="1:10" ht="29.4" customHeight="1">
      <c r="A4" s="29">
        <v>15</v>
      </c>
      <c r="B4" s="29">
        <v>948</v>
      </c>
      <c r="C4" s="36" t="s">
        <v>8</v>
      </c>
      <c r="D4" s="26">
        <v>9</v>
      </c>
      <c r="E4" s="26">
        <v>0</v>
      </c>
      <c r="H4" s="38" t="s">
        <v>119</v>
      </c>
    </row>
    <row r="5" spans="1:10" ht="28.2">
      <c r="A5" s="29">
        <v>6</v>
      </c>
      <c r="B5" s="29">
        <v>630</v>
      </c>
      <c r="C5" s="36" t="s">
        <v>9</v>
      </c>
      <c r="D5" s="26">
        <v>7</v>
      </c>
      <c r="E5" s="26">
        <v>1</v>
      </c>
    </row>
    <row r="6" spans="1:10">
      <c r="A6" s="29">
        <v>6</v>
      </c>
      <c r="B6" s="29">
        <v>456</v>
      </c>
      <c r="C6" s="36" t="s">
        <v>10</v>
      </c>
      <c r="D6" s="26">
        <v>7</v>
      </c>
      <c r="E6" s="26">
        <v>1</v>
      </c>
    </row>
    <row r="7" spans="1:10" ht="15" thickBot="1">
      <c r="A7" s="29">
        <v>11</v>
      </c>
      <c r="B7" s="29">
        <v>672</v>
      </c>
      <c r="C7" s="36" t="s">
        <v>11</v>
      </c>
      <c r="D7" s="26">
        <v>9</v>
      </c>
      <c r="E7" s="26">
        <v>0</v>
      </c>
    </row>
    <row r="8" spans="1:10" ht="28.8" thickBot="1">
      <c r="A8" s="29">
        <v>23</v>
      </c>
      <c r="B8" s="29">
        <v>2035</v>
      </c>
      <c r="C8" s="36" t="s">
        <v>12</v>
      </c>
      <c r="D8" s="26">
        <v>8</v>
      </c>
      <c r="E8" s="26">
        <v>1</v>
      </c>
      <c r="H8" s="39" t="s">
        <v>120</v>
      </c>
      <c r="I8" s="25">
        <v>0.86046511627906996</v>
      </c>
      <c r="J8" t="s">
        <v>132</v>
      </c>
    </row>
    <row r="9" spans="1:10" ht="28.2">
      <c r="A9" s="29">
        <v>4</v>
      </c>
      <c r="B9" s="29">
        <v>436</v>
      </c>
      <c r="C9" s="36" t="s">
        <v>13</v>
      </c>
      <c r="D9" s="26">
        <v>8</v>
      </c>
      <c r="E9" s="26">
        <v>0</v>
      </c>
    </row>
    <row r="10" spans="1:10" ht="28.2">
      <c r="A10" s="29">
        <v>7</v>
      </c>
      <c r="B10" s="29">
        <v>620</v>
      </c>
      <c r="C10" s="36" t="s">
        <v>14</v>
      </c>
      <c r="D10" s="26">
        <v>8</v>
      </c>
      <c r="E10" s="26">
        <v>1</v>
      </c>
    </row>
    <row r="11" spans="1:10" ht="15" thickBot="1">
      <c r="A11" s="29">
        <v>16</v>
      </c>
      <c r="B11" s="29">
        <v>2984</v>
      </c>
      <c r="C11" s="36" t="s">
        <v>15</v>
      </c>
      <c r="D11" s="26">
        <v>8</v>
      </c>
      <c r="E11" s="26">
        <v>1</v>
      </c>
    </row>
    <row r="12" spans="1:10" ht="15" thickBot="1">
      <c r="D12" s="37">
        <v>80</v>
      </c>
      <c r="E12" s="37">
        <v>6</v>
      </c>
      <c r="F12" s="2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 sheet</vt:lpstr>
      <vt:lpstr>Hospitals</vt:lpstr>
      <vt:lpstr>Physicians</vt:lpstr>
      <vt:lpstr>Family doctors</vt:lpstr>
      <vt:lpstr>Sanitary beds</vt:lpstr>
      <vt:lpstr>Deaths</vt:lpstr>
      <vt:lpstr>Scatter Diagram</vt:lpstr>
      <vt:lpstr>Spearman</vt:lpstr>
      <vt:lpstr>Kendall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msnikolova1974@gmail.com</dc:creator>
  <cp:lastModifiedBy>Bianca TomaRO</cp:lastModifiedBy>
  <dcterms:created xsi:type="dcterms:W3CDTF">2024-01-06T06:56:31Z</dcterms:created>
  <dcterms:modified xsi:type="dcterms:W3CDTF">2024-01-12T01:06:19Z</dcterms:modified>
</cp:coreProperties>
</file>